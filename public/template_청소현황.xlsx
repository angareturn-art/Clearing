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ntigravity\TEst\"/>
    </mc:Choice>
  </mc:AlternateContent>
  <bookViews>
    <workbookView xWindow="28680" yWindow="-120" windowWidth="29040" windowHeight="15720"/>
  </bookViews>
  <sheets>
    <sheet name="청소일정표" sheetId="2" r:id="rId1"/>
  </sheets>
  <definedNames>
    <definedName name="_xlnm.Print_Area" localSheetId="0">청소일정표!$B$2:$BL$37,청소일정표!$BT$20:$BV$20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U37" i="2" l="1"/>
  <c r="BT37" i="2"/>
  <c r="BV37" i="2" s="1"/>
  <c r="BV36" i="2"/>
  <c r="BR36" i="2"/>
  <c r="BQ36" i="2"/>
  <c r="BR35" i="2"/>
  <c r="BQ35" i="2"/>
  <c r="BV35" i="2" s="1"/>
  <c r="BR34" i="2"/>
  <c r="BQ34" i="2"/>
  <c r="BV34" i="2" s="1"/>
  <c r="BM34" i="2"/>
  <c r="BS33" i="2"/>
  <c r="BR33" i="2"/>
  <c r="BQ33" i="2"/>
  <c r="BV33" i="2" s="1"/>
  <c r="BS32" i="2"/>
  <c r="BS38" i="2" s="1"/>
  <c r="BR32" i="2"/>
  <c r="BQ32" i="2"/>
  <c r="BV32" i="2" s="1"/>
  <c r="BM32" i="2"/>
  <c r="BM29" i="2" s="1"/>
  <c r="BM26" i="2" s="1"/>
  <c r="BM23" i="2" s="1"/>
  <c r="BM20" i="2" s="1"/>
  <c r="BM17" i="2" s="1"/>
  <c r="BM14" i="2" s="1"/>
  <c r="BM11" i="2" s="1"/>
  <c r="BM8" i="2" s="1"/>
  <c r="BM5" i="2" s="1"/>
  <c r="BS31" i="2"/>
  <c r="BR31" i="2"/>
  <c r="BV31" i="2" s="1"/>
  <c r="BQ31" i="2"/>
  <c r="BU30" i="2"/>
  <c r="BU38" i="2" s="1"/>
  <c r="BT30" i="2"/>
  <c r="BV30" i="2" s="1"/>
  <c r="BR29" i="2"/>
  <c r="BR38" i="2" s="1"/>
  <c r="BQ29" i="2"/>
  <c r="BV29" i="2" s="1"/>
  <c r="BO22" i="2"/>
  <c r="BO21" i="2"/>
  <c r="BP20" i="2" s="1"/>
  <c r="BO20" i="2"/>
  <c r="BO19" i="2"/>
  <c r="BO18" i="2"/>
  <c r="BO17" i="2"/>
  <c r="BP17" i="2" s="1"/>
  <c r="BO16" i="2"/>
  <c r="BO15" i="2"/>
  <c r="BO14" i="2"/>
  <c r="BP14" i="2" s="1"/>
  <c r="BO13" i="2"/>
  <c r="BO12" i="2"/>
  <c r="BP11" i="2"/>
  <c r="BO11" i="2"/>
  <c r="BO10" i="2"/>
  <c r="BO9" i="2"/>
  <c r="BP8" i="2" s="1"/>
  <c r="BO8" i="2"/>
  <c r="BO7" i="2"/>
  <c r="BO6" i="2"/>
  <c r="BO5" i="2"/>
  <c r="BP5" i="2" s="1"/>
  <c r="BV38" i="2" l="1"/>
  <c r="BT38" i="2"/>
  <c r="BQ38" i="2"/>
  <c r="BP38" i="2" s="1"/>
</calcChain>
</file>

<file path=xl/sharedStrings.xml><?xml version="1.0" encoding="utf-8"?>
<sst xmlns="http://schemas.openxmlformats.org/spreadsheetml/2006/main" count="851" uniqueCount="114">
  <si>
    <t xml:space="preserve">   지하 지상층 일정표</t>
    <phoneticPr fontId="2" type="noConversion"/>
  </si>
  <si>
    <t>세대</t>
    <phoneticPr fontId="2" type="noConversion"/>
  </si>
  <si>
    <t>기준층 VS 월간작업율</t>
    <phoneticPr fontId="2" type="noConversion"/>
  </si>
  <si>
    <t>옥탑</t>
    <phoneticPr fontId="2" type="noConversion"/>
  </si>
  <si>
    <t>옥탑층</t>
    <phoneticPr fontId="2" type="noConversion"/>
  </si>
  <si>
    <t>11월</t>
    <phoneticPr fontId="2" type="noConversion"/>
  </si>
  <si>
    <t>지붕</t>
    <phoneticPr fontId="2" type="noConversion"/>
  </si>
  <si>
    <t>지붕층</t>
    <phoneticPr fontId="2" type="noConversion"/>
  </si>
  <si>
    <t>25F</t>
  </si>
  <si>
    <t>24F</t>
  </si>
  <si>
    <t>10월</t>
    <phoneticPr fontId="2" type="noConversion"/>
  </si>
  <si>
    <t>23F</t>
  </si>
  <si>
    <t>22F</t>
  </si>
  <si>
    <t>21F</t>
  </si>
  <si>
    <t>9월</t>
    <phoneticPr fontId="2" type="noConversion"/>
  </si>
  <si>
    <t>20F</t>
  </si>
  <si>
    <t>19F</t>
  </si>
  <si>
    <t>18F</t>
  </si>
  <si>
    <t>8월</t>
  </si>
  <si>
    <t>17F</t>
  </si>
  <si>
    <t>16F</t>
  </si>
  <si>
    <t>15F</t>
  </si>
  <si>
    <t>7월</t>
    <phoneticPr fontId="2" type="noConversion"/>
  </si>
  <si>
    <t>14F</t>
  </si>
  <si>
    <t>13F</t>
  </si>
  <si>
    <t>12F</t>
  </si>
  <si>
    <t>6월</t>
    <phoneticPr fontId="2" type="noConversion"/>
  </si>
  <si>
    <t>11F</t>
  </si>
  <si>
    <t>10F</t>
  </si>
  <si>
    <t>9F</t>
  </si>
  <si>
    <t>월간세대</t>
    <phoneticPr fontId="2" type="noConversion"/>
  </si>
  <si>
    <t>8F</t>
  </si>
  <si>
    <t>7F</t>
  </si>
  <si>
    <t>6F</t>
  </si>
  <si>
    <t>5F</t>
  </si>
  <si>
    <t>구분</t>
    <phoneticPr fontId="2" type="noConversion"/>
  </si>
  <si>
    <t>세대(Type)</t>
    <phoneticPr fontId="2" type="noConversion"/>
  </si>
  <si>
    <t>4F</t>
  </si>
  <si>
    <t>층수</t>
    <phoneticPr fontId="2" type="noConversion"/>
  </si>
  <si>
    <t>59AL</t>
    <phoneticPr fontId="2" type="noConversion"/>
  </si>
  <si>
    <t>59BL</t>
    <phoneticPr fontId="2" type="noConversion"/>
  </si>
  <si>
    <t>59CL</t>
    <phoneticPr fontId="2" type="noConversion"/>
  </si>
  <si>
    <t>59AH</t>
    <phoneticPr fontId="2" type="noConversion"/>
  </si>
  <si>
    <t>59BH</t>
    <phoneticPr fontId="2" type="noConversion"/>
  </si>
  <si>
    <t>합계</t>
    <phoneticPr fontId="2" type="noConversion"/>
  </si>
  <si>
    <t>3F</t>
  </si>
  <si>
    <t>101동</t>
    <phoneticPr fontId="2" type="noConversion"/>
  </si>
  <si>
    <t>17/20</t>
    <phoneticPr fontId="2" type="noConversion"/>
  </si>
  <si>
    <t>2F</t>
    <phoneticPr fontId="2" type="noConversion"/>
  </si>
  <si>
    <t>2F</t>
  </si>
  <si>
    <t>102동</t>
  </si>
  <si>
    <t>18/25</t>
    <phoneticPr fontId="2" type="noConversion"/>
  </si>
  <si>
    <t>1F</t>
    <phoneticPr fontId="2" type="noConversion"/>
  </si>
  <si>
    <t>1F</t>
  </si>
  <si>
    <t>103동</t>
  </si>
  <si>
    <t>18/20</t>
    <phoneticPr fontId="2" type="noConversion"/>
  </si>
  <si>
    <t>B1F</t>
    <phoneticPr fontId="2" type="noConversion"/>
  </si>
  <si>
    <t>B1F</t>
  </si>
  <si>
    <t>104동</t>
  </si>
  <si>
    <t>B2F</t>
    <phoneticPr fontId="2" type="noConversion"/>
  </si>
  <si>
    <t>B2F</t>
  </si>
  <si>
    <t>105동</t>
  </si>
  <si>
    <t>기초</t>
    <phoneticPr fontId="2" type="noConversion"/>
  </si>
  <si>
    <t>106동</t>
  </si>
  <si>
    <t>107동</t>
  </si>
  <si>
    <t>20/15</t>
    <phoneticPr fontId="2" type="noConversion"/>
  </si>
  <si>
    <t>Type</t>
    <phoneticPr fontId="2" type="noConversion"/>
  </si>
  <si>
    <t>108동</t>
  </si>
  <si>
    <t>18/14</t>
    <phoneticPr fontId="2" type="noConversion"/>
  </si>
  <si>
    <t>102동</t>
    <phoneticPr fontId="2" type="noConversion"/>
  </si>
  <si>
    <t>103동</t>
    <phoneticPr fontId="2" type="noConversion"/>
  </si>
  <si>
    <t>104동</t>
    <phoneticPr fontId="2" type="noConversion"/>
  </si>
  <si>
    <t>105동</t>
    <phoneticPr fontId="2" type="noConversion"/>
  </si>
  <si>
    <t>106동</t>
    <phoneticPr fontId="2" type="noConversion"/>
  </si>
  <si>
    <t>107동</t>
    <phoneticPr fontId="2" type="noConversion"/>
  </si>
  <si>
    <t>108동</t>
    <phoneticPr fontId="2" type="noConversion"/>
  </si>
  <si>
    <t>109동</t>
    <phoneticPr fontId="2" type="noConversion"/>
  </si>
  <si>
    <t>착공</t>
    <phoneticPr fontId="2" type="noConversion"/>
  </si>
  <si>
    <t>109동</t>
  </si>
  <si>
    <t>15/25</t>
    <phoneticPr fontId="2" type="noConversion"/>
  </si>
  <si>
    <t>부속동  배치</t>
    <phoneticPr fontId="2" type="noConversion"/>
  </si>
  <si>
    <t>1F4호  키스스테이션</t>
    <phoneticPr fontId="2" type="noConversion"/>
  </si>
  <si>
    <t>1F4호 외부코어#2</t>
    <phoneticPr fontId="2" type="noConversion"/>
  </si>
  <si>
    <t>1F1호 게스트하우스</t>
    <phoneticPr fontId="2" type="noConversion"/>
  </si>
  <si>
    <t>1F1호 돌봄센터</t>
    <phoneticPr fontId="2" type="noConversion"/>
  </si>
  <si>
    <t>B1F-1F 3호 작은도서관</t>
    <phoneticPr fontId="2" type="noConversion"/>
  </si>
  <si>
    <t>B2F 1호 저수조</t>
    <phoneticPr fontId="2" type="noConversion"/>
  </si>
  <si>
    <t>1F 1호 경로당(외), 근로자휴게실</t>
    <phoneticPr fontId="2" type="noConversion"/>
  </si>
  <si>
    <t>1F 2-3호 근생</t>
    <phoneticPr fontId="2" type="noConversion"/>
  </si>
  <si>
    <t>주차장 램프1</t>
    <phoneticPr fontId="2" type="noConversion"/>
  </si>
  <si>
    <t>지상층 184</t>
    <phoneticPr fontId="2" type="noConversion"/>
  </si>
  <si>
    <t>B2F 34호 전기실/발전기실</t>
    <phoneticPr fontId="2" type="noConversion"/>
  </si>
  <si>
    <t>지상 주민공동시설</t>
    <phoneticPr fontId="2" type="noConversion"/>
  </si>
  <si>
    <t>B1F 1호 주차장램프</t>
    <phoneticPr fontId="2" type="noConversion"/>
  </si>
  <si>
    <t>1F 2호 주민시설3,주민시설2(외)</t>
    <phoneticPr fontId="2" type="noConversion"/>
  </si>
  <si>
    <t>B1F 1호 재활용보관소</t>
    <phoneticPr fontId="2" type="noConversion"/>
  </si>
  <si>
    <t>주차장 램프2</t>
    <phoneticPr fontId="2" type="noConversion"/>
  </si>
  <si>
    <t>지상 관리실</t>
    <phoneticPr fontId="2" type="noConversion"/>
  </si>
  <si>
    <t>B1F 2호 경비실2</t>
    <phoneticPr fontId="2" type="noConversion"/>
  </si>
  <si>
    <t>지상 경비실1</t>
    <phoneticPr fontId="2" type="noConversion"/>
  </si>
  <si>
    <t>지상어린이집</t>
    <phoneticPr fontId="2" type="noConversion"/>
  </si>
  <si>
    <t>항타예상</t>
    <phoneticPr fontId="2" type="noConversion"/>
  </si>
  <si>
    <t>Working Day 기준 월 25일</t>
    <phoneticPr fontId="2" type="noConversion"/>
  </si>
  <si>
    <t>1구간</t>
    <phoneticPr fontId="2" type="noConversion"/>
  </si>
  <si>
    <t>4세대+계단2</t>
    <phoneticPr fontId="2" type="noConversion"/>
  </si>
  <si>
    <t>3세대+계단1</t>
    <phoneticPr fontId="2" type="noConversion"/>
  </si>
  <si>
    <t>2구간</t>
  </si>
  <si>
    <t>3구간</t>
  </si>
  <si>
    <t>5세대+계단2</t>
    <phoneticPr fontId="2" type="noConversion"/>
  </si>
  <si>
    <t>4구간</t>
  </si>
  <si>
    <t>2세대+계단1</t>
    <phoneticPr fontId="2" type="noConversion"/>
  </si>
  <si>
    <t>3세대+계단2</t>
    <phoneticPr fontId="2" type="noConversion"/>
  </si>
  <si>
    <t>5구간</t>
  </si>
  <si>
    <t>금일타설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</si>
</sst>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yy&quot;-&quot;m&quot;-&quot;d;@"/>
    <numFmt numFmtId="177" formatCode="0_);[Red]\(0\)"/>
    <numFmt numFmtId="178" formatCode="yyyy&quot;-&quot;m&quot;-&quot;d;@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1"/>
      <color theme="5" tint="0.3999755851924192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9"/>
      <color theme="5" tint="0.3999755851924192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5" tint="0.3999755851924192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183E4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 diagonalUp="1" diagonalDown="1">
      <left style="thin">
        <color indexed="64"/>
      </left>
      <right style="thin">
        <color rgb="FF00B0F0"/>
      </right>
      <top style="thin">
        <color rgb="FF00B0F0"/>
      </top>
      <bottom style="thin">
        <color rgb="FF00B0F0"/>
      </bottom>
      <diagonal style="thin">
        <color rgb="FF00B0F0"/>
      </diagonal>
    </border>
    <border diagonalUp="1" diagonalDown="1"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 style="thin">
        <color rgb="FF00B0F0"/>
      </diagonal>
    </border>
  </borders>
  <cellStyleXfs count="2">
    <xf numFmtId="0" fontId="0" fillId="0" borderId="0">
      <alignment vertical="center"/>
    </xf>
    <xf numFmtId="0" fontId="16" fillId="0" borderId="0"/>
  </cellStyleXfs>
  <cellXfs count="13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8" fillId="0" borderId="0" xfId="0" applyFont="1">
      <alignment vertical="center"/>
    </xf>
    <xf numFmtId="0" fontId="8" fillId="0" borderId="1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77" fontId="14" fillId="11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15" fillId="0" borderId="0" xfId="0" applyNumberFormat="1" applyFont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15" borderId="11" xfId="0" applyFont="1" applyFill="1" applyBorder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0" fontId="15" fillId="15" borderId="12" xfId="0" applyFont="1" applyFill="1" applyBorder="1" applyAlignment="1">
      <alignment horizontal="center" vertical="center"/>
    </xf>
    <xf numFmtId="0" fontId="15" fillId="16" borderId="13" xfId="0" applyFont="1" applyFill="1" applyBorder="1" applyAlignment="1">
      <alignment horizontal="center" vertical="center"/>
    </xf>
    <xf numFmtId="0" fontId="15" fillId="16" borderId="14" xfId="0" applyFont="1" applyFill="1" applyBorder="1" applyAlignment="1">
      <alignment horizontal="center" vertical="center"/>
    </xf>
    <xf numFmtId="0" fontId="15" fillId="16" borderId="15" xfId="0" applyFont="1" applyFill="1" applyBorder="1" applyAlignment="1">
      <alignment horizontal="center" vertical="center"/>
    </xf>
    <xf numFmtId="0" fontId="15" fillId="14" borderId="11" xfId="0" applyFont="1" applyFill="1" applyBorder="1" applyAlignment="1">
      <alignment horizontal="center" vertical="center"/>
    </xf>
    <xf numFmtId="0" fontId="15" fillId="14" borderId="0" xfId="0" applyFont="1" applyFill="1" applyAlignment="1">
      <alignment horizontal="center" vertical="center"/>
    </xf>
    <xf numFmtId="0" fontId="15" fillId="14" borderId="12" xfId="0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13" borderId="11" xfId="0" applyFont="1" applyFill="1" applyBorder="1" applyAlignment="1">
      <alignment horizontal="center" vertical="center"/>
    </xf>
    <xf numFmtId="0" fontId="15" fillId="13" borderId="0" xfId="0" applyFont="1" applyFill="1" applyAlignment="1">
      <alignment horizontal="center" vertical="center"/>
    </xf>
    <xf numFmtId="0" fontId="15" fillId="13" borderId="12" xfId="0" applyFont="1" applyFill="1" applyBorder="1" applyAlignment="1">
      <alignment horizontal="center" vertical="center"/>
    </xf>
    <xf numFmtId="0" fontId="6" fillId="12" borderId="7" xfId="1" applyFont="1" applyFill="1" applyBorder="1" applyAlignment="1">
      <alignment horizontal="center" vertical="center"/>
    </xf>
    <xf numFmtId="0" fontId="6" fillId="12" borderId="8" xfId="1" applyFont="1" applyFill="1" applyBorder="1" applyAlignment="1">
      <alignment horizontal="center" vertical="center"/>
    </xf>
    <xf numFmtId="0" fontId="6" fillId="12" borderId="9" xfId="1" applyFont="1" applyFill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15" fillId="12" borderId="7" xfId="0" applyFont="1" applyFill="1" applyBorder="1" applyAlignment="1">
      <alignment horizontal="center" vertical="center"/>
    </xf>
    <xf numFmtId="0" fontId="15" fillId="12" borderId="8" xfId="0" applyFont="1" applyFill="1" applyBorder="1" applyAlignment="1">
      <alignment horizontal="center" vertical="center"/>
    </xf>
    <xf numFmtId="0" fontId="15" fillId="12" borderId="9" xfId="0" applyFon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13" xfId="0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/>
    </xf>
    <xf numFmtId="0" fontId="0" fillId="3" borderId="15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13" fillId="10" borderId="3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9" fontId="7" fillId="3" borderId="5" xfId="0" applyNumberFormat="1" applyFont="1" applyFill="1" applyBorder="1" applyAlignment="1">
      <alignment horizontal="center" vertical="center"/>
    </xf>
    <xf numFmtId="9" fontId="6" fillId="3" borderId="6" xfId="0" applyNumberFormat="1" applyFont="1" applyFill="1" applyBorder="1" applyAlignment="1">
      <alignment horizontal="center" vertical="center"/>
    </xf>
    <xf numFmtId="9" fontId="6" fillId="3" borderId="10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9" fillId="17" borderId="0" xfId="0" applyFont="1" applyFill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650875</xdr:colOff>
      <xdr:row>27</xdr:row>
      <xdr:rowOff>329045</xdr:rowOff>
    </xdr:from>
    <xdr:to>
      <xdr:col>64</xdr:col>
      <xdr:colOff>7216</xdr:colOff>
      <xdr:row>27</xdr:row>
      <xdr:rowOff>329045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B0E9BF48-6D83-4969-A2D8-C022A8A9FDB7}"/>
            </a:ext>
          </a:extLst>
        </xdr:cNvPr>
        <xdr:cNvCxnSpPr/>
      </xdr:nvCxnSpPr>
      <xdr:spPr>
        <a:xfrm>
          <a:off x="650875" y="8968220"/>
          <a:ext cx="17758641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2309</xdr:colOff>
      <xdr:row>31</xdr:row>
      <xdr:rowOff>2309</xdr:rowOff>
    </xdr:from>
    <xdr:to>
      <xdr:col>64</xdr:col>
      <xdr:colOff>25400</xdr:colOff>
      <xdr:row>31</xdr:row>
      <xdr:rowOff>2309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C2CE6A71-EBD9-4422-A7B1-3FEF29FFBA3A}"/>
            </a:ext>
          </a:extLst>
        </xdr:cNvPr>
        <xdr:cNvCxnSpPr/>
      </xdr:nvCxnSpPr>
      <xdr:spPr>
        <a:xfrm>
          <a:off x="659534" y="9946409"/>
          <a:ext cx="17768166" cy="0"/>
        </a:xfrm>
        <a:prstGeom prst="line">
          <a:avLst/>
        </a:prstGeom>
        <a:ln w="76200"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</xdr:row>
      <xdr:rowOff>2309</xdr:rowOff>
    </xdr:from>
    <xdr:to>
      <xdr:col>64</xdr:col>
      <xdr:colOff>23091</xdr:colOff>
      <xdr:row>25</xdr:row>
      <xdr:rowOff>2309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ABF9CD07-E208-4866-B7DE-AFCDC4CA85DB}"/>
            </a:ext>
          </a:extLst>
        </xdr:cNvPr>
        <xdr:cNvCxnSpPr/>
      </xdr:nvCxnSpPr>
      <xdr:spPr>
        <a:xfrm>
          <a:off x="657225" y="8003309"/>
          <a:ext cx="17768166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</xdr:row>
      <xdr:rowOff>-1</xdr:rowOff>
    </xdr:from>
    <xdr:to>
      <xdr:col>64</xdr:col>
      <xdr:colOff>23091</xdr:colOff>
      <xdr:row>22</xdr:row>
      <xdr:rowOff>-1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198E651C-E8ED-4530-AED9-9C051B037EBD}"/>
            </a:ext>
          </a:extLst>
        </xdr:cNvPr>
        <xdr:cNvCxnSpPr/>
      </xdr:nvCxnSpPr>
      <xdr:spPr>
        <a:xfrm>
          <a:off x="657225" y="7029449"/>
          <a:ext cx="17768166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</xdr:row>
      <xdr:rowOff>0</xdr:rowOff>
    </xdr:from>
    <xdr:to>
      <xdr:col>64</xdr:col>
      <xdr:colOff>23091</xdr:colOff>
      <xdr:row>19</xdr:row>
      <xdr:rowOff>0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A79668D0-BC0D-470D-B974-8B100994E9A2}"/>
            </a:ext>
          </a:extLst>
        </xdr:cNvPr>
        <xdr:cNvCxnSpPr/>
      </xdr:nvCxnSpPr>
      <xdr:spPr>
        <a:xfrm>
          <a:off x="657225" y="6057900"/>
          <a:ext cx="17768166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</xdr:row>
      <xdr:rowOff>0</xdr:rowOff>
    </xdr:from>
    <xdr:to>
      <xdr:col>64</xdr:col>
      <xdr:colOff>23091</xdr:colOff>
      <xdr:row>16</xdr:row>
      <xdr:rowOff>0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923F44E8-EC9C-4FAB-A2B1-1E10844F297D}"/>
            </a:ext>
          </a:extLst>
        </xdr:cNvPr>
        <xdr:cNvCxnSpPr/>
      </xdr:nvCxnSpPr>
      <xdr:spPr>
        <a:xfrm>
          <a:off x="657225" y="5086350"/>
          <a:ext cx="17768166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</xdr:row>
      <xdr:rowOff>0</xdr:rowOff>
    </xdr:from>
    <xdr:to>
      <xdr:col>64</xdr:col>
      <xdr:colOff>23091</xdr:colOff>
      <xdr:row>13</xdr:row>
      <xdr:rowOff>0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A18190B4-9F0B-4FB6-8180-1A238DD8720C}"/>
            </a:ext>
          </a:extLst>
        </xdr:cNvPr>
        <xdr:cNvCxnSpPr/>
      </xdr:nvCxnSpPr>
      <xdr:spPr>
        <a:xfrm>
          <a:off x="657225" y="4114800"/>
          <a:ext cx="17768166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</xdr:row>
      <xdr:rowOff>0</xdr:rowOff>
    </xdr:from>
    <xdr:to>
      <xdr:col>64</xdr:col>
      <xdr:colOff>23091</xdr:colOff>
      <xdr:row>4</xdr:row>
      <xdr:rowOff>0</xdr:rowOff>
    </xdr:to>
    <xdr:cxnSp macro="">
      <xdr:nvCxnSpPr>
        <xdr:cNvPr id="9" name="직선 연결선 8">
          <a:extLst>
            <a:ext uri="{FF2B5EF4-FFF2-40B4-BE49-F238E27FC236}">
              <a16:creationId xmlns:a16="http://schemas.microsoft.com/office/drawing/2014/main" id="{AEA03DB7-851F-41D5-AB4B-610185825788}"/>
            </a:ext>
          </a:extLst>
        </xdr:cNvPr>
        <xdr:cNvCxnSpPr/>
      </xdr:nvCxnSpPr>
      <xdr:spPr>
        <a:xfrm>
          <a:off x="657225" y="1200150"/>
          <a:ext cx="17768166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</xdr:row>
      <xdr:rowOff>0</xdr:rowOff>
    </xdr:from>
    <xdr:to>
      <xdr:col>64</xdr:col>
      <xdr:colOff>23091</xdr:colOff>
      <xdr:row>10</xdr:row>
      <xdr:rowOff>0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8FD9C992-3FF4-4ECE-8178-36B92387BBA5}"/>
            </a:ext>
          </a:extLst>
        </xdr:cNvPr>
        <xdr:cNvCxnSpPr/>
      </xdr:nvCxnSpPr>
      <xdr:spPr>
        <a:xfrm>
          <a:off x="657225" y="3143250"/>
          <a:ext cx="17768166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</xdr:row>
      <xdr:rowOff>0</xdr:rowOff>
    </xdr:from>
    <xdr:to>
      <xdr:col>64</xdr:col>
      <xdr:colOff>23091</xdr:colOff>
      <xdr:row>7</xdr:row>
      <xdr:rowOff>0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28ECA0CF-A6A6-4C93-BC4B-AA29D14C0BB2}"/>
            </a:ext>
          </a:extLst>
        </xdr:cNvPr>
        <xdr:cNvCxnSpPr/>
      </xdr:nvCxnSpPr>
      <xdr:spPr>
        <a:xfrm>
          <a:off x="657225" y="2171700"/>
          <a:ext cx="17768166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45604</xdr:colOff>
      <xdr:row>53</xdr:row>
      <xdr:rowOff>62923</xdr:rowOff>
    </xdr:from>
    <xdr:to>
      <xdr:col>15</xdr:col>
      <xdr:colOff>66098</xdr:colOff>
      <xdr:row>57</xdr:row>
      <xdr:rowOff>3175</xdr:rowOff>
    </xdr:to>
    <xdr:sp macro="" textlink="">
      <xdr:nvSpPr>
        <xdr:cNvPr id="12" name="사각형: 둥근 모서리 11">
          <a:extLst>
            <a:ext uri="{FF2B5EF4-FFF2-40B4-BE49-F238E27FC236}">
              <a16:creationId xmlns:a16="http://schemas.microsoft.com/office/drawing/2014/main" id="{AA9143A1-6DC0-4C09-B5B4-9CCB99BCFB0F}"/>
            </a:ext>
          </a:extLst>
        </xdr:cNvPr>
        <xdr:cNvSpPr/>
      </xdr:nvSpPr>
      <xdr:spPr>
        <a:xfrm>
          <a:off x="4084204" y="15731548"/>
          <a:ext cx="849169" cy="778452"/>
        </a:xfrm>
        <a:prstGeom prst="round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600">
              <a:solidFill>
                <a:srgbClr val="0070C0"/>
              </a:solidFill>
            </a:rPr>
            <a:t>1</a:t>
          </a:r>
        </a:p>
      </xdr:txBody>
    </xdr:sp>
    <xdr:clientData/>
  </xdr:twoCellAnchor>
  <xdr:twoCellAnchor>
    <xdr:from>
      <xdr:col>20</xdr:col>
      <xdr:colOff>256599</xdr:colOff>
      <xdr:row>53</xdr:row>
      <xdr:rowOff>42430</xdr:rowOff>
    </xdr:from>
    <xdr:to>
      <xdr:col>23</xdr:col>
      <xdr:colOff>267567</xdr:colOff>
      <xdr:row>56</xdr:row>
      <xdr:rowOff>223694</xdr:rowOff>
    </xdr:to>
    <xdr:sp macro="" textlink="">
      <xdr:nvSpPr>
        <xdr:cNvPr id="13" name="사각형: 둥근 모서리 12">
          <a:extLst>
            <a:ext uri="{FF2B5EF4-FFF2-40B4-BE49-F238E27FC236}">
              <a16:creationId xmlns:a16="http://schemas.microsoft.com/office/drawing/2014/main" id="{21DB72DC-8FF5-4465-B0CD-94FD015A80CA}"/>
            </a:ext>
          </a:extLst>
        </xdr:cNvPr>
        <xdr:cNvSpPr/>
      </xdr:nvSpPr>
      <xdr:spPr>
        <a:xfrm>
          <a:off x="6504999" y="15711055"/>
          <a:ext cx="839643" cy="800389"/>
        </a:xfrm>
        <a:prstGeom prst="round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600">
              <a:solidFill>
                <a:srgbClr val="0070C0"/>
              </a:solidFill>
            </a:rPr>
            <a:t>1</a:t>
          </a:r>
          <a:endParaRPr lang="ko-KR" altLang="en-US" sz="3600">
            <a:solidFill>
              <a:srgbClr val="0070C0"/>
            </a:solidFill>
          </a:endParaRPr>
        </a:p>
      </xdr:txBody>
    </xdr:sp>
    <xdr:clientData/>
  </xdr:twoCellAnchor>
  <xdr:twoCellAnchor>
    <xdr:from>
      <xdr:col>28</xdr:col>
      <xdr:colOff>262949</xdr:colOff>
      <xdr:row>53</xdr:row>
      <xdr:rowOff>62924</xdr:rowOff>
    </xdr:from>
    <xdr:to>
      <xdr:col>31</xdr:col>
      <xdr:colOff>267567</xdr:colOff>
      <xdr:row>57</xdr:row>
      <xdr:rowOff>9526</xdr:rowOff>
    </xdr:to>
    <xdr:sp macro="" textlink="">
      <xdr:nvSpPr>
        <xdr:cNvPr id="14" name="사각형: 둥근 모서리 13">
          <a:extLst>
            <a:ext uri="{FF2B5EF4-FFF2-40B4-BE49-F238E27FC236}">
              <a16:creationId xmlns:a16="http://schemas.microsoft.com/office/drawing/2014/main" id="{094DAF4C-7B9A-43F7-A527-9C207160EC01}"/>
            </a:ext>
          </a:extLst>
        </xdr:cNvPr>
        <xdr:cNvSpPr/>
      </xdr:nvSpPr>
      <xdr:spPr>
        <a:xfrm>
          <a:off x="8721149" y="15731549"/>
          <a:ext cx="833293" cy="784802"/>
        </a:xfrm>
        <a:prstGeom prst="round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600">
              <a:solidFill>
                <a:srgbClr val="0070C0"/>
              </a:solidFill>
            </a:rPr>
            <a:t>1</a:t>
          </a:r>
          <a:endParaRPr lang="ko-KR" altLang="en-US" sz="3600">
            <a:solidFill>
              <a:srgbClr val="0070C0"/>
            </a:solidFill>
          </a:endParaRPr>
        </a:p>
      </xdr:txBody>
    </xdr:sp>
    <xdr:clientData/>
  </xdr:twoCellAnchor>
  <xdr:twoCellAnchor>
    <xdr:from>
      <xdr:col>35</xdr:col>
      <xdr:colOff>66101</xdr:colOff>
      <xdr:row>53</xdr:row>
      <xdr:rowOff>51955</xdr:rowOff>
    </xdr:from>
    <xdr:to>
      <xdr:col>38</xdr:col>
      <xdr:colOff>77069</xdr:colOff>
      <xdr:row>56</xdr:row>
      <xdr:rowOff>223694</xdr:rowOff>
    </xdr:to>
    <xdr:sp macro="" textlink="">
      <xdr:nvSpPr>
        <xdr:cNvPr id="15" name="사각형: 둥근 모서리 14">
          <a:extLst>
            <a:ext uri="{FF2B5EF4-FFF2-40B4-BE49-F238E27FC236}">
              <a16:creationId xmlns:a16="http://schemas.microsoft.com/office/drawing/2014/main" id="{3E49C4E8-D727-4F6B-AD6F-4FF084FD377C}"/>
            </a:ext>
          </a:extLst>
        </xdr:cNvPr>
        <xdr:cNvSpPr/>
      </xdr:nvSpPr>
      <xdr:spPr>
        <a:xfrm>
          <a:off x="10457876" y="15720580"/>
          <a:ext cx="839643" cy="790864"/>
        </a:xfrm>
        <a:prstGeom prst="round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600">
              <a:solidFill>
                <a:srgbClr val="0070C0"/>
              </a:solidFill>
            </a:rPr>
            <a:t>1</a:t>
          </a:r>
          <a:endParaRPr lang="ko-KR" altLang="en-US" sz="3600">
            <a:solidFill>
              <a:srgbClr val="0070C0"/>
            </a:solidFill>
          </a:endParaRPr>
        </a:p>
      </xdr:txBody>
    </xdr:sp>
    <xdr:clientData/>
  </xdr:twoCellAnchor>
  <xdr:twoCellAnchor>
    <xdr:from>
      <xdr:col>39</xdr:col>
      <xdr:colOff>262951</xdr:colOff>
      <xdr:row>53</xdr:row>
      <xdr:rowOff>45606</xdr:rowOff>
    </xdr:from>
    <xdr:to>
      <xdr:col>42</xdr:col>
      <xdr:colOff>273919</xdr:colOff>
      <xdr:row>57</xdr:row>
      <xdr:rowOff>1733</xdr:rowOff>
    </xdr:to>
    <xdr:sp macro="" textlink="">
      <xdr:nvSpPr>
        <xdr:cNvPr id="16" name="사각형: 둥근 모서리 15">
          <a:extLst>
            <a:ext uri="{FF2B5EF4-FFF2-40B4-BE49-F238E27FC236}">
              <a16:creationId xmlns:a16="http://schemas.microsoft.com/office/drawing/2014/main" id="{8DC67170-0EDB-4F29-9A59-8ABDE32EE2FD}"/>
            </a:ext>
          </a:extLst>
        </xdr:cNvPr>
        <xdr:cNvSpPr/>
      </xdr:nvSpPr>
      <xdr:spPr>
        <a:xfrm>
          <a:off x="11759626" y="15714231"/>
          <a:ext cx="839643" cy="794327"/>
        </a:xfrm>
        <a:prstGeom prst="round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600">
              <a:solidFill>
                <a:srgbClr val="0070C0"/>
              </a:solidFill>
            </a:rPr>
            <a:t>1</a:t>
          </a:r>
          <a:endParaRPr lang="ko-KR" altLang="en-US" sz="3600">
            <a:solidFill>
              <a:srgbClr val="0070C0"/>
            </a:solidFill>
          </a:endParaRPr>
        </a:p>
      </xdr:txBody>
    </xdr:sp>
    <xdr:clientData/>
  </xdr:twoCellAnchor>
  <xdr:twoCellAnchor>
    <xdr:from>
      <xdr:col>45</xdr:col>
      <xdr:colOff>17321</xdr:colOff>
      <xdr:row>53</xdr:row>
      <xdr:rowOff>66098</xdr:rowOff>
    </xdr:from>
    <xdr:to>
      <xdr:col>48</xdr:col>
      <xdr:colOff>25115</xdr:colOff>
      <xdr:row>57</xdr:row>
      <xdr:rowOff>12700</xdr:rowOff>
    </xdr:to>
    <xdr:sp macro="" textlink="">
      <xdr:nvSpPr>
        <xdr:cNvPr id="17" name="사각형: 둥근 모서리 16">
          <a:extLst>
            <a:ext uri="{FF2B5EF4-FFF2-40B4-BE49-F238E27FC236}">
              <a16:creationId xmlns:a16="http://schemas.microsoft.com/office/drawing/2014/main" id="{EFD4CBE2-292A-4359-B6DB-92B2DB1FB7B2}"/>
            </a:ext>
          </a:extLst>
        </xdr:cNvPr>
        <xdr:cNvSpPr/>
      </xdr:nvSpPr>
      <xdr:spPr>
        <a:xfrm>
          <a:off x="13171346" y="15734723"/>
          <a:ext cx="836469" cy="784802"/>
        </a:xfrm>
        <a:prstGeom prst="round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600">
              <a:solidFill>
                <a:srgbClr val="0070C0"/>
              </a:solidFill>
            </a:rPr>
            <a:t>1</a:t>
          </a:r>
          <a:endParaRPr lang="ko-KR" altLang="en-US" sz="3600">
            <a:solidFill>
              <a:srgbClr val="0070C0"/>
            </a:solidFill>
          </a:endParaRPr>
        </a:p>
      </xdr:txBody>
    </xdr:sp>
    <xdr:clientData/>
  </xdr:twoCellAnchor>
  <xdr:twoCellAnchor>
    <xdr:from>
      <xdr:col>50</xdr:col>
      <xdr:colOff>273919</xdr:colOff>
      <xdr:row>53</xdr:row>
      <xdr:rowOff>31462</xdr:rowOff>
    </xdr:from>
    <xdr:to>
      <xdr:col>54</xdr:col>
      <xdr:colOff>14146</xdr:colOff>
      <xdr:row>56</xdr:row>
      <xdr:rowOff>209551</xdr:rowOff>
    </xdr:to>
    <xdr:sp macro="" textlink="">
      <xdr:nvSpPr>
        <xdr:cNvPr id="18" name="사각형: 둥근 모서리 17">
          <a:extLst>
            <a:ext uri="{FF2B5EF4-FFF2-40B4-BE49-F238E27FC236}">
              <a16:creationId xmlns:a16="http://schemas.microsoft.com/office/drawing/2014/main" id="{CE5B840F-EBDF-4B52-8B5C-9B7E714F0D29}"/>
            </a:ext>
          </a:extLst>
        </xdr:cNvPr>
        <xdr:cNvSpPr/>
      </xdr:nvSpPr>
      <xdr:spPr>
        <a:xfrm>
          <a:off x="14809069" y="15700087"/>
          <a:ext cx="845127" cy="806739"/>
        </a:xfrm>
        <a:prstGeom prst="round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600">
              <a:solidFill>
                <a:srgbClr val="0070C0"/>
              </a:solidFill>
            </a:rPr>
            <a:t>1</a:t>
          </a:r>
          <a:endParaRPr lang="ko-KR" altLang="en-US" sz="3600">
            <a:solidFill>
              <a:srgbClr val="0070C0"/>
            </a:solidFill>
          </a:endParaRPr>
        </a:p>
      </xdr:txBody>
    </xdr:sp>
    <xdr:clientData/>
  </xdr:twoCellAnchor>
  <xdr:twoCellAnchor>
    <xdr:from>
      <xdr:col>57</xdr:col>
      <xdr:colOff>135374</xdr:colOff>
      <xdr:row>53</xdr:row>
      <xdr:rowOff>51954</xdr:rowOff>
    </xdr:from>
    <xdr:to>
      <xdr:col>60</xdr:col>
      <xdr:colOff>149517</xdr:colOff>
      <xdr:row>56</xdr:row>
      <xdr:rowOff>220518</xdr:rowOff>
    </xdr:to>
    <xdr:sp macro="" textlink="">
      <xdr:nvSpPr>
        <xdr:cNvPr id="19" name="사각형: 둥근 모서리 18">
          <a:extLst>
            <a:ext uri="{FF2B5EF4-FFF2-40B4-BE49-F238E27FC236}">
              <a16:creationId xmlns:a16="http://schemas.microsoft.com/office/drawing/2014/main" id="{C6F87EF9-71FC-4FE0-A05D-427548CF1C8B}"/>
            </a:ext>
          </a:extLst>
        </xdr:cNvPr>
        <xdr:cNvSpPr/>
      </xdr:nvSpPr>
      <xdr:spPr>
        <a:xfrm>
          <a:off x="16604099" y="15720579"/>
          <a:ext cx="842818" cy="787689"/>
        </a:xfrm>
        <a:prstGeom prst="round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600">
              <a:solidFill>
                <a:srgbClr val="0070C0"/>
              </a:solidFill>
            </a:rPr>
            <a:t>1</a:t>
          </a:r>
          <a:endParaRPr lang="ko-KR" altLang="en-US" sz="3600">
            <a:solidFill>
              <a:srgbClr val="0070C0"/>
            </a:solidFill>
          </a:endParaRPr>
        </a:p>
      </xdr:txBody>
    </xdr:sp>
    <xdr:clientData/>
  </xdr:twoCellAnchor>
  <xdr:twoCellAnchor>
    <xdr:from>
      <xdr:col>3</xdr:col>
      <xdr:colOff>236105</xdr:colOff>
      <xdr:row>53</xdr:row>
      <xdr:rowOff>66098</xdr:rowOff>
    </xdr:from>
    <xdr:to>
      <xdr:col>6</xdr:col>
      <xdr:colOff>256598</xdr:colOff>
      <xdr:row>57</xdr:row>
      <xdr:rowOff>12700</xdr:rowOff>
    </xdr:to>
    <xdr:sp macro="" textlink="">
      <xdr:nvSpPr>
        <xdr:cNvPr id="20" name="사각형: 둥근 모서리 19">
          <a:extLst>
            <a:ext uri="{FF2B5EF4-FFF2-40B4-BE49-F238E27FC236}">
              <a16:creationId xmlns:a16="http://schemas.microsoft.com/office/drawing/2014/main" id="{70B9EFF9-9495-418F-B8C2-CBF6D80DB21E}"/>
            </a:ext>
          </a:extLst>
        </xdr:cNvPr>
        <xdr:cNvSpPr/>
      </xdr:nvSpPr>
      <xdr:spPr>
        <a:xfrm>
          <a:off x="1788680" y="15734723"/>
          <a:ext cx="849168" cy="784802"/>
        </a:xfrm>
        <a:prstGeom prst="round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600">
              <a:solidFill>
                <a:srgbClr val="0070C0"/>
              </a:solidFill>
            </a:rPr>
            <a:t>1</a:t>
          </a:r>
          <a:endParaRPr lang="ko-KR" altLang="en-US" sz="3600">
            <a:solidFill>
              <a:srgbClr val="0070C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CA51"/>
  <sheetViews>
    <sheetView showGridLines="0" tabSelected="1" view="pageBreakPreview" topLeftCell="A7" zoomScale="70" zoomScaleNormal="55" zoomScaleSheetLayoutView="70" workbookViewId="0">
      <selection activeCell="AP22" sqref="AP22"/>
    </sheetView>
  </sheetViews>
  <sheetFormatPr defaultColWidth="8.625" defaultRowHeight="16.5" x14ac:dyDescent="0.3"/>
  <cols>
    <col min="1" max="1" width="8.625" style="2"/>
    <col min="2" max="2" width="8.125" style="1" customWidth="1"/>
    <col min="3" max="64" width="3.625" style="2" customWidth="1"/>
    <col min="65" max="65" width="11.625" style="3" bestFit="1" customWidth="1"/>
    <col min="66" max="66" width="2.375" style="3" customWidth="1"/>
    <col min="67" max="67" width="6.75" style="2" bestFit="1" customWidth="1"/>
    <col min="68" max="74" width="9.375" style="2" customWidth="1"/>
    <col min="75" max="16384" width="8.625" style="2"/>
  </cols>
  <sheetData>
    <row r="1" spans="2:69" ht="21.95" customHeight="1" x14ac:dyDescent="0.3"/>
    <row r="2" spans="2:69" ht="45" customHeight="1" x14ac:dyDescent="0.3">
      <c r="B2" s="131" t="s">
        <v>0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</row>
    <row r="3" spans="2:69" ht="17.100000000000001" customHeight="1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69" ht="11.45" customHeight="1" x14ac:dyDescent="0.3">
      <c r="M4" s="3"/>
      <c r="BO4" s="5" t="s">
        <v>1</v>
      </c>
      <c r="BP4" s="132" t="s">
        <v>2</v>
      </c>
      <c r="BQ4" s="133"/>
    </row>
    <row r="5" spans="2:69" ht="26.1" customHeight="1" x14ac:dyDescent="0.3">
      <c r="B5" s="6" t="s">
        <v>3</v>
      </c>
      <c r="K5" s="121" t="s">
        <v>4</v>
      </c>
      <c r="L5" s="119"/>
      <c r="M5" s="119"/>
      <c r="N5" s="120"/>
      <c r="O5" s="121" t="s">
        <v>4</v>
      </c>
      <c r="P5" s="119"/>
      <c r="Q5" s="119"/>
      <c r="R5" s="120"/>
      <c r="BI5" s="127" t="s">
        <v>4</v>
      </c>
      <c r="BJ5" s="119"/>
      <c r="BK5" s="119"/>
      <c r="BL5" s="120"/>
      <c r="BM5" s="7">
        <f>BM8+30+6</f>
        <v>46331</v>
      </c>
      <c r="BN5" s="7"/>
      <c r="BO5" s="8">
        <f t="shared" ref="BO5:BO22" si="0">COUNTA(C5:BL5)</f>
        <v>3</v>
      </c>
      <c r="BP5" s="107">
        <f>SUM(BO5:BO7)/$BQ$23</f>
        <v>0.11827956989247312</v>
      </c>
      <c r="BQ5" s="110" t="s">
        <v>5</v>
      </c>
    </row>
    <row r="6" spans="2:69" ht="26.1" customHeight="1" x14ac:dyDescent="0.3">
      <c r="B6" s="6" t="s">
        <v>6</v>
      </c>
      <c r="K6" s="121" t="s">
        <v>7</v>
      </c>
      <c r="L6" s="119"/>
      <c r="M6" s="119"/>
      <c r="N6" s="120"/>
      <c r="O6" s="121" t="s">
        <v>7</v>
      </c>
      <c r="P6" s="119"/>
      <c r="Q6" s="119"/>
      <c r="R6" s="120"/>
      <c r="BI6" s="121" t="s">
        <v>7</v>
      </c>
      <c r="BJ6" s="119"/>
      <c r="BK6" s="119"/>
      <c r="BL6" s="120"/>
      <c r="BM6" s="7"/>
      <c r="BN6" s="7"/>
      <c r="BO6" s="9">
        <f t="shared" si="0"/>
        <v>3</v>
      </c>
      <c r="BP6" s="108"/>
      <c r="BQ6" s="111"/>
    </row>
    <row r="7" spans="2:69" ht="26.1" customHeight="1" x14ac:dyDescent="0.3">
      <c r="B7" s="6" t="s">
        <v>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1" t="s">
        <v>8</v>
      </c>
      <c r="N7" s="12"/>
      <c r="O7" s="13" t="s">
        <v>8</v>
      </c>
      <c r="P7" s="12"/>
      <c r="Q7" s="13" t="s">
        <v>8</v>
      </c>
      <c r="R7" s="14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1" t="s">
        <v>8</v>
      </c>
      <c r="BJ7" s="12"/>
      <c r="BK7" s="13" t="s">
        <v>8</v>
      </c>
      <c r="BL7" s="15"/>
      <c r="BM7" s="7"/>
      <c r="BN7" s="7"/>
      <c r="BO7" s="16">
        <f t="shared" si="0"/>
        <v>5</v>
      </c>
      <c r="BP7" s="109"/>
      <c r="BQ7" s="112"/>
    </row>
    <row r="8" spans="2:69" ht="26.1" customHeight="1" x14ac:dyDescent="0.3">
      <c r="B8" s="6" t="s">
        <v>9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7" t="s">
        <v>9</v>
      </c>
      <c r="N8" s="10"/>
      <c r="O8" s="18" t="s">
        <v>9</v>
      </c>
      <c r="P8" s="10"/>
      <c r="Q8" s="18" t="s">
        <v>9</v>
      </c>
      <c r="R8" s="19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7" t="s">
        <v>9</v>
      </c>
      <c r="BJ8" s="10"/>
      <c r="BK8" s="18" t="s">
        <v>9</v>
      </c>
      <c r="BL8" s="20"/>
      <c r="BM8" s="7">
        <f>BM11+27+5</f>
        <v>46295</v>
      </c>
      <c r="BN8" s="7"/>
      <c r="BO8" s="8">
        <f t="shared" si="0"/>
        <v>5</v>
      </c>
      <c r="BP8" s="107">
        <f>SUM(BO8:BO10)/$BQ$23</f>
        <v>0.21505376344086022</v>
      </c>
      <c r="BQ8" s="110" t="s">
        <v>10</v>
      </c>
    </row>
    <row r="9" spans="2:69" ht="26.1" customHeight="1" x14ac:dyDescent="0.3">
      <c r="B9" s="6" t="s">
        <v>11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7" t="s">
        <v>11</v>
      </c>
      <c r="N9" s="10"/>
      <c r="O9" s="18" t="s">
        <v>11</v>
      </c>
      <c r="P9" s="10"/>
      <c r="Q9" s="18" t="s">
        <v>11</v>
      </c>
      <c r="R9" s="19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7" t="s">
        <v>11</v>
      </c>
      <c r="BJ9" s="10"/>
      <c r="BK9" s="18" t="s">
        <v>11</v>
      </c>
      <c r="BL9" s="20"/>
      <c r="BM9" s="7"/>
      <c r="BN9" s="7"/>
      <c r="BO9" s="9">
        <f t="shared" si="0"/>
        <v>5</v>
      </c>
      <c r="BP9" s="108"/>
      <c r="BQ9" s="113"/>
    </row>
    <row r="10" spans="2:69" ht="26.1" customHeight="1" x14ac:dyDescent="0.3">
      <c r="B10" s="6" t="s">
        <v>12</v>
      </c>
      <c r="C10" s="10"/>
      <c r="D10" s="10"/>
      <c r="E10" s="10"/>
      <c r="F10" s="10"/>
      <c r="G10" s="127" t="s">
        <v>4</v>
      </c>
      <c r="H10" s="119"/>
      <c r="I10" s="119"/>
      <c r="J10" s="120"/>
      <c r="K10" s="10"/>
      <c r="L10" s="10"/>
      <c r="M10" s="17" t="s">
        <v>12</v>
      </c>
      <c r="N10" s="10"/>
      <c r="O10" s="18" t="s">
        <v>12</v>
      </c>
      <c r="P10" s="10"/>
      <c r="Q10" s="18" t="s">
        <v>12</v>
      </c>
      <c r="R10" s="19"/>
      <c r="S10" s="10"/>
      <c r="T10" s="10"/>
      <c r="U10" s="10"/>
      <c r="V10" s="10"/>
      <c r="W10" s="128" t="s">
        <v>4</v>
      </c>
      <c r="X10" s="129"/>
      <c r="Y10" s="129"/>
      <c r="Z10" s="129"/>
      <c r="AA10" s="129"/>
      <c r="AB10" s="130"/>
      <c r="AC10" s="128" t="s">
        <v>4</v>
      </c>
      <c r="AD10" s="129"/>
      <c r="AE10" s="129"/>
      <c r="AF10" s="129"/>
      <c r="AG10" s="129"/>
      <c r="AH10" s="130"/>
      <c r="AI10" s="128" t="s">
        <v>4</v>
      </c>
      <c r="AJ10" s="129"/>
      <c r="AK10" s="129"/>
      <c r="AL10" s="129"/>
      <c r="AM10" s="129"/>
      <c r="AN10" s="130"/>
      <c r="AO10" s="10"/>
      <c r="AP10" s="10"/>
      <c r="AQ10" s="10"/>
      <c r="AR10" s="10"/>
      <c r="AS10" s="121" t="s">
        <v>4</v>
      </c>
      <c r="AT10" s="119"/>
      <c r="AU10" s="119"/>
      <c r="AV10" s="120"/>
      <c r="AW10" s="21"/>
      <c r="AX10" s="21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7" t="s">
        <v>12</v>
      </c>
      <c r="BJ10" s="10"/>
      <c r="BK10" s="18" t="s">
        <v>12</v>
      </c>
      <c r="BL10" s="20"/>
      <c r="BM10" s="7"/>
      <c r="BN10" s="7"/>
      <c r="BO10" s="16">
        <f t="shared" si="0"/>
        <v>10</v>
      </c>
      <c r="BP10" s="109"/>
      <c r="BQ10" s="114"/>
    </row>
    <row r="11" spans="2:69" ht="26.1" customHeight="1" x14ac:dyDescent="0.3">
      <c r="B11" s="6" t="s">
        <v>13</v>
      </c>
      <c r="C11" s="10"/>
      <c r="D11" s="10"/>
      <c r="E11" s="10"/>
      <c r="F11" s="10"/>
      <c r="G11" s="121" t="s">
        <v>7</v>
      </c>
      <c r="H11" s="119"/>
      <c r="I11" s="119"/>
      <c r="J11" s="120"/>
      <c r="K11" s="10"/>
      <c r="L11" s="10"/>
      <c r="M11" s="17" t="s">
        <v>13</v>
      </c>
      <c r="N11" s="10"/>
      <c r="O11" s="18" t="s">
        <v>13</v>
      </c>
      <c r="P11" s="10"/>
      <c r="Q11" s="18" t="s">
        <v>13</v>
      </c>
      <c r="R11" s="19"/>
      <c r="S11" s="10"/>
      <c r="T11" s="10"/>
      <c r="U11" s="10"/>
      <c r="V11" s="10"/>
      <c r="W11" s="124" t="s">
        <v>7</v>
      </c>
      <c r="X11" s="125"/>
      <c r="Y11" s="125"/>
      <c r="Z11" s="125"/>
      <c r="AA11" s="125"/>
      <c r="AB11" s="126"/>
      <c r="AC11" s="124" t="s">
        <v>7</v>
      </c>
      <c r="AD11" s="125"/>
      <c r="AE11" s="125"/>
      <c r="AF11" s="125"/>
      <c r="AG11" s="125"/>
      <c r="AH11" s="126"/>
      <c r="AI11" s="124" t="s">
        <v>7</v>
      </c>
      <c r="AJ11" s="125"/>
      <c r="AK11" s="125"/>
      <c r="AL11" s="125"/>
      <c r="AM11" s="125"/>
      <c r="AN11" s="126"/>
      <c r="AO11" s="10"/>
      <c r="AP11" s="10"/>
      <c r="AQ11" s="10"/>
      <c r="AR11" s="10"/>
      <c r="AS11" s="121" t="s">
        <v>7</v>
      </c>
      <c r="AT11" s="119"/>
      <c r="AU11" s="119"/>
      <c r="AV11" s="120"/>
      <c r="AW11" s="21"/>
      <c r="AX11" s="21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7" t="s">
        <v>13</v>
      </c>
      <c r="BJ11" s="10"/>
      <c r="BK11" s="18" t="s">
        <v>13</v>
      </c>
      <c r="BL11" s="20"/>
      <c r="BM11" s="7">
        <f>BM14+27+5</f>
        <v>46263</v>
      </c>
      <c r="BN11" s="7"/>
      <c r="BO11" s="8">
        <f t="shared" si="0"/>
        <v>10</v>
      </c>
      <c r="BP11" s="107">
        <f>SUM(BO11:BO13)/$BQ$23</f>
        <v>0.54838709677419351</v>
      </c>
      <c r="BQ11" s="110" t="s">
        <v>14</v>
      </c>
    </row>
    <row r="12" spans="2:69" ht="26.1" customHeight="1" x14ac:dyDescent="0.3">
      <c r="B12" s="6" t="s">
        <v>15</v>
      </c>
      <c r="C12" s="10"/>
      <c r="D12" s="10"/>
      <c r="E12" s="10"/>
      <c r="F12" s="10"/>
      <c r="G12" s="11" t="s">
        <v>15</v>
      </c>
      <c r="H12" s="12"/>
      <c r="I12" s="13" t="s">
        <v>15</v>
      </c>
      <c r="J12" s="14"/>
      <c r="K12" s="10"/>
      <c r="L12" s="10"/>
      <c r="M12" s="17" t="s">
        <v>15</v>
      </c>
      <c r="N12" s="10"/>
      <c r="O12" s="18" t="s">
        <v>15</v>
      </c>
      <c r="P12" s="10"/>
      <c r="Q12" s="18" t="s">
        <v>15</v>
      </c>
      <c r="R12" s="19"/>
      <c r="S12" s="121" t="s">
        <v>4</v>
      </c>
      <c r="T12" s="119"/>
      <c r="U12" s="119"/>
      <c r="V12" s="120"/>
      <c r="W12" s="11" t="s">
        <v>15</v>
      </c>
      <c r="X12" s="12"/>
      <c r="Y12" s="13" t="s">
        <v>15</v>
      </c>
      <c r="Z12" s="12"/>
      <c r="AA12" s="13" t="s">
        <v>15</v>
      </c>
      <c r="AB12" s="14"/>
      <c r="AC12" s="11" t="s">
        <v>15</v>
      </c>
      <c r="AD12" s="12"/>
      <c r="AE12" s="13" t="s">
        <v>15</v>
      </c>
      <c r="AF12" s="12"/>
      <c r="AG12" s="13" t="s">
        <v>15</v>
      </c>
      <c r="AH12" s="14"/>
      <c r="AI12" s="11" t="s">
        <v>15</v>
      </c>
      <c r="AJ12" s="12"/>
      <c r="AK12" s="13" t="s">
        <v>15</v>
      </c>
      <c r="AL12" s="12"/>
      <c r="AM12" s="13" t="s">
        <v>15</v>
      </c>
      <c r="AN12" s="14"/>
      <c r="AO12" s="10"/>
      <c r="AP12" s="10"/>
      <c r="AQ12" s="10"/>
      <c r="AR12" s="10"/>
      <c r="AS12" s="11" t="s">
        <v>15</v>
      </c>
      <c r="AT12" s="12"/>
      <c r="AU12" s="13" t="s">
        <v>15</v>
      </c>
      <c r="AV12" s="12"/>
      <c r="AW12" s="22"/>
      <c r="AX12" s="10"/>
      <c r="AY12" s="121" t="s">
        <v>4</v>
      </c>
      <c r="AZ12" s="119"/>
      <c r="BA12" s="119"/>
      <c r="BB12" s="120"/>
      <c r="BC12" s="21"/>
      <c r="BD12" s="21"/>
      <c r="BE12" s="10"/>
      <c r="BF12" s="10"/>
      <c r="BG12" s="10"/>
      <c r="BH12" s="10"/>
      <c r="BI12" s="17" t="s">
        <v>15</v>
      </c>
      <c r="BJ12" s="10"/>
      <c r="BK12" s="18" t="s">
        <v>15</v>
      </c>
      <c r="BL12" s="20"/>
      <c r="BM12" s="7"/>
      <c r="BN12" s="7"/>
      <c r="BO12" s="9">
        <f t="shared" si="0"/>
        <v>20</v>
      </c>
      <c r="BP12" s="108"/>
      <c r="BQ12" s="111"/>
    </row>
    <row r="13" spans="2:69" ht="26.1" customHeight="1" x14ac:dyDescent="0.3">
      <c r="B13" s="6" t="s">
        <v>16</v>
      </c>
      <c r="C13" s="123" t="s">
        <v>4</v>
      </c>
      <c r="D13" s="119"/>
      <c r="E13" s="119"/>
      <c r="F13" s="120"/>
      <c r="G13" s="17" t="s">
        <v>16</v>
      </c>
      <c r="H13" s="10"/>
      <c r="I13" s="18" t="s">
        <v>16</v>
      </c>
      <c r="J13" s="19"/>
      <c r="K13" s="10"/>
      <c r="L13" s="10"/>
      <c r="M13" s="17" t="s">
        <v>16</v>
      </c>
      <c r="N13" s="10"/>
      <c r="O13" s="18" t="s">
        <v>16</v>
      </c>
      <c r="P13" s="10"/>
      <c r="Q13" s="18" t="s">
        <v>16</v>
      </c>
      <c r="R13" s="19"/>
      <c r="S13" s="121" t="s">
        <v>7</v>
      </c>
      <c r="T13" s="119"/>
      <c r="U13" s="119"/>
      <c r="V13" s="120"/>
      <c r="W13" s="17" t="s">
        <v>16</v>
      </c>
      <c r="X13" s="10"/>
      <c r="Y13" s="18" t="s">
        <v>16</v>
      </c>
      <c r="Z13" s="10"/>
      <c r="AA13" s="18" t="s">
        <v>16</v>
      </c>
      <c r="AB13" s="19"/>
      <c r="AC13" s="17" t="s">
        <v>16</v>
      </c>
      <c r="AD13" s="10"/>
      <c r="AE13" s="18" t="s">
        <v>16</v>
      </c>
      <c r="AF13" s="10"/>
      <c r="AG13" s="18" t="s">
        <v>16</v>
      </c>
      <c r="AH13" s="19"/>
      <c r="AI13" s="17" t="s">
        <v>16</v>
      </c>
      <c r="AJ13" s="10"/>
      <c r="AK13" s="18" t="s">
        <v>16</v>
      </c>
      <c r="AL13" s="10"/>
      <c r="AM13" s="18" t="s">
        <v>16</v>
      </c>
      <c r="AN13" s="19"/>
      <c r="AO13" s="10"/>
      <c r="AP13" s="10"/>
      <c r="AQ13" s="10"/>
      <c r="AR13" s="10"/>
      <c r="AS13" s="17" t="s">
        <v>16</v>
      </c>
      <c r="AT13" s="10"/>
      <c r="AU13" s="18" t="s">
        <v>16</v>
      </c>
      <c r="AV13" s="10"/>
      <c r="AW13" s="22"/>
      <c r="AX13" s="10"/>
      <c r="AY13" s="121" t="s">
        <v>7</v>
      </c>
      <c r="AZ13" s="119"/>
      <c r="BA13" s="119"/>
      <c r="BB13" s="120"/>
      <c r="BC13" s="21"/>
      <c r="BD13" s="21"/>
      <c r="BE13" s="10"/>
      <c r="BF13" s="10"/>
      <c r="BG13" s="10"/>
      <c r="BH13" s="10"/>
      <c r="BI13" s="17" t="s">
        <v>16</v>
      </c>
      <c r="BJ13" s="10"/>
      <c r="BK13" s="18" t="s">
        <v>16</v>
      </c>
      <c r="BL13" s="20"/>
      <c r="BM13" s="7"/>
      <c r="BN13" s="7"/>
      <c r="BO13" s="16">
        <f t="shared" si="0"/>
        <v>21</v>
      </c>
      <c r="BP13" s="109"/>
      <c r="BQ13" s="112"/>
    </row>
    <row r="14" spans="2:69" ht="26.1" customHeight="1" x14ac:dyDescent="0.3">
      <c r="B14" s="6" t="s">
        <v>17</v>
      </c>
      <c r="C14" s="119" t="s">
        <v>7</v>
      </c>
      <c r="D14" s="119"/>
      <c r="E14" s="119"/>
      <c r="F14" s="120"/>
      <c r="G14" s="17" t="s">
        <v>17</v>
      </c>
      <c r="H14" s="10"/>
      <c r="I14" s="18" t="s">
        <v>17</v>
      </c>
      <c r="J14" s="10"/>
      <c r="K14" s="11" t="s">
        <v>17</v>
      </c>
      <c r="L14" s="12"/>
      <c r="M14" s="18" t="s">
        <v>17</v>
      </c>
      <c r="N14" s="10"/>
      <c r="O14" s="18" t="s">
        <v>17</v>
      </c>
      <c r="P14" s="10"/>
      <c r="Q14" s="18" t="s">
        <v>17</v>
      </c>
      <c r="R14" s="19"/>
      <c r="S14" s="11" t="s">
        <v>17</v>
      </c>
      <c r="T14" s="12"/>
      <c r="U14" s="13" t="s">
        <v>17</v>
      </c>
      <c r="V14" s="12"/>
      <c r="W14" s="18" t="s">
        <v>17</v>
      </c>
      <c r="X14" s="10"/>
      <c r="Y14" s="18" t="s">
        <v>17</v>
      </c>
      <c r="Z14" s="10"/>
      <c r="AA14" s="18" t="s">
        <v>17</v>
      </c>
      <c r="AB14" s="19"/>
      <c r="AC14" s="17" t="s">
        <v>17</v>
      </c>
      <c r="AD14" s="10"/>
      <c r="AE14" s="18" t="s">
        <v>17</v>
      </c>
      <c r="AF14" s="10"/>
      <c r="AG14" s="18" t="s">
        <v>17</v>
      </c>
      <c r="AH14" s="19"/>
      <c r="AI14" s="17" t="s">
        <v>17</v>
      </c>
      <c r="AJ14" s="10"/>
      <c r="AK14" s="18" t="s">
        <v>17</v>
      </c>
      <c r="AL14" s="10"/>
      <c r="AM14" s="18" t="s">
        <v>17</v>
      </c>
      <c r="AN14" s="19"/>
      <c r="AO14" s="121" t="s">
        <v>4</v>
      </c>
      <c r="AP14" s="119"/>
      <c r="AQ14" s="119"/>
      <c r="AR14" s="120"/>
      <c r="AS14" s="17" t="s">
        <v>17</v>
      </c>
      <c r="AT14" s="10"/>
      <c r="AU14" s="18" t="s">
        <v>17</v>
      </c>
      <c r="AV14" s="10"/>
      <c r="AW14" s="22"/>
      <c r="AX14" s="10"/>
      <c r="AY14" s="11" t="s">
        <v>17</v>
      </c>
      <c r="AZ14" s="12"/>
      <c r="BA14" s="13" t="s">
        <v>17</v>
      </c>
      <c r="BB14" s="12"/>
      <c r="BC14" s="22"/>
      <c r="BD14" s="10"/>
      <c r="BE14" s="10"/>
      <c r="BF14" s="10"/>
      <c r="BG14" s="10"/>
      <c r="BH14" s="10"/>
      <c r="BI14" s="17" t="s">
        <v>17</v>
      </c>
      <c r="BJ14" s="10"/>
      <c r="BK14" s="18" t="s">
        <v>17</v>
      </c>
      <c r="BL14" s="20"/>
      <c r="BM14" s="7">
        <f>BM17+27</f>
        <v>46231</v>
      </c>
      <c r="BN14" s="7"/>
      <c r="BO14" s="8">
        <f t="shared" si="0"/>
        <v>25</v>
      </c>
      <c r="BP14" s="107">
        <f>SUM(BO14:BO16)/$BQ$23</f>
        <v>0.86021505376344087</v>
      </c>
      <c r="BQ14" s="110" t="s">
        <v>18</v>
      </c>
    </row>
    <row r="15" spans="2:69" ht="26.1" customHeight="1" x14ac:dyDescent="0.3">
      <c r="B15" s="6" t="s">
        <v>19</v>
      </c>
      <c r="C15" s="13" t="s">
        <v>19</v>
      </c>
      <c r="D15" s="12"/>
      <c r="E15" s="13" t="s">
        <v>19</v>
      </c>
      <c r="F15" s="12"/>
      <c r="G15" s="18" t="s">
        <v>19</v>
      </c>
      <c r="H15" s="10"/>
      <c r="I15" s="18" t="s">
        <v>19</v>
      </c>
      <c r="J15" s="10"/>
      <c r="K15" s="17" t="s">
        <v>19</v>
      </c>
      <c r="L15" s="10"/>
      <c r="M15" s="18" t="s">
        <v>19</v>
      </c>
      <c r="N15" s="10"/>
      <c r="O15" s="18" t="s">
        <v>19</v>
      </c>
      <c r="P15" s="10"/>
      <c r="Q15" s="18" t="s">
        <v>19</v>
      </c>
      <c r="R15" s="19"/>
      <c r="S15" s="17" t="s">
        <v>19</v>
      </c>
      <c r="T15" s="10"/>
      <c r="U15" s="18" t="s">
        <v>19</v>
      </c>
      <c r="V15" s="10"/>
      <c r="W15" s="18" t="s">
        <v>19</v>
      </c>
      <c r="X15" s="10"/>
      <c r="Y15" s="18" t="s">
        <v>19</v>
      </c>
      <c r="Z15" s="10"/>
      <c r="AA15" s="18" t="s">
        <v>19</v>
      </c>
      <c r="AB15" s="19"/>
      <c r="AC15" s="17" t="s">
        <v>19</v>
      </c>
      <c r="AD15" s="10"/>
      <c r="AE15" s="18" t="s">
        <v>19</v>
      </c>
      <c r="AF15" s="10"/>
      <c r="AG15" s="18" t="s">
        <v>19</v>
      </c>
      <c r="AH15" s="19"/>
      <c r="AI15" s="17" t="s">
        <v>19</v>
      </c>
      <c r="AJ15" s="10"/>
      <c r="AK15" s="18" t="s">
        <v>19</v>
      </c>
      <c r="AL15" s="10"/>
      <c r="AM15" s="18" t="s">
        <v>19</v>
      </c>
      <c r="AN15" s="19"/>
      <c r="AO15" s="121" t="s">
        <v>7</v>
      </c>
      <c r="AP15" s="119"/>
      <c r="AQ15" s="119"/>
      <c r="AR15" s="120"/>
      <c r="AS15" s="17" t="s">
        <v>19</v>
      </c>
      <c r="AT15" s="10"/>
      <c r="AU15" s="18" t="s">
        <v>19</v>
      </c>
      <c r="AV15" s="10"/>
      <c r="AW15" s="22"/>
      <c r="AX15" s="10"/>
      <c r="AY15" s="17" t="s">
        <v>19</v>
      </c>
      <c r="AZ15" s="10"/>
      <c r="BA15" s="18" t="s">
        <v>19</v>
      </c>
      <c r="BB15" s="10"/>
      <c r="BC15" s="22"/>
      <c r="BD15" s="10"/>
      <c r="BE15" s="121" t="s">
        <v>4</v>
      </c>
      <c r="BF15" s="119"/>
      <c r="BG15" s="119"/>
      <c r="BH15" s="120"/>
      <c r="BI15" s="17" t="s">
        <v>19</v>
      </c>
      <c r="BJ15" s="10"/>
      <c r="BK15" s="18" t="s">
        <v>19</v>
      </c>
      <c r="BL15" s="20"/>
      <c r="BM15" s="7"/>
      <c r="BN15" s="7"/>
      <c r="BO15" s="9">
        <f t="shared" si="0"/>
        <v>27</v>
      </c>
      <c r="BP15" s="108"/>
      <c r="BQ15" s="113"/>
    </row>
    <row r="16" spans="2:69" ht="26.1" customHeight="1" x14ac:dyDescent="0.3">
      <c r="B16" s="6" t="s">
        <v>20</v>
      </c>
      <c r="C16" s="18" t="s">
        <v>20</v>
      </c>
      <c r="D16" s="10"/>
      <c r="E16" s="18" t="s">
        <v>20</v>
      </c>
      <c r="F16" s="10"/>
      <c r="G16" s="18" t="s">
        <v>20</v>
      </c>
      <c r="H16" s="10"/>
      <c r="I16" s="18" t="s">
        <v>20</v>
      </c>
      <c r="J16" s="10"/>
      <c r="K16" s="17" t="s">
        <v>20</v>
      </c>
      <c r="L16" s="10"/>
      <c r="M16" s="18" t="s">
        <v>20</v>
      </c>
      <c r="N16" s="10"/>
      <c r="O16" s="18" t="s">
        <v>20</v>
      </c>
      <c r="P16" s="10"/>
      <c r="Q16" s="18" t="s">
        <v>20</v>
      </c>
      <c r="R16" s="19"/>
      <c r="S16" s="17" t="s">
        <v>20</v>
      </c>
      <c r="T16" s="10"/>
      <c r="U16" s="18" t="s">
        <v>20</v>
      </c>
      <c r="V16" s="10"/>
      <c r="W16" s="18" t="s">
        <v>20</v>
      </c>
      <c r="X16" s="10"/>
      <c r="Y16" s="18" t="s">
        <v>20</v>
      </c>
      <c r="Z16" s="10"/>
      <c r="AA16" s="18" t="s">
        <v>20</v>
      </c>
      <c r="AB16" s="19"/>
      <c r="AC16" s="17" t="s">
        <v>20</v>
      </c>
      <c r="AD16" s="10"/>
      <c r="AE16" s="18" t="s">
        <v>20</v>
      </c>
      <c r="AF16" s="10"/>
      <c r="AG16" s="18" t="s">
        <v>20</v>
      </c>
      <c r="AH16" s="19"/>
      <c r="AI16" s="17" t="s">
        <v>20</v>
      </c>
      <c r="AJ16" s="10"/>
      <c r="AK16" s="18" t="s">
        <v>20</v>
      </c>
      <c r="AL16" s="10"/>
      <c r="AM16" s="18" t="s">
        <v>20</v>
      </c>
      <c r="AN16" s="19"/>
      <c r="AO16" s="11" t="s">
        <v>20</v>
      </c>
      <c r="AP16" s="12"/>
      <c r="AQ16" s="13" t="s">
        <v>20</v>
      </c>
      <c r="AR16" s="12"/>
      <c r="AS16" s="17" t="s">
        <v>20</v>
      </c>
      <c r="AT16" s="10"/>
      <c r="AU16" s="18" t="s">
        <v>20</v>
      </c>
      <c r="AV16" s="10"/>
      <c r="AW16" s="23"/>
      <c r="AX16" s="24"/>
      <c r="AY16" s="17" t="s">
        <v>20</v>
      </c>
      <c r="AZ16" s="10"/>
      <c r="BA16" s="18" t="s">
        <v>20</v>
      </c>
      <c r="BB16" s="10"/>
      <c r="BC16" s="22"/>
      <c r="BD16" s="10"/>
      <c r="BE16" s="121" t="s">
        <v>7</v>
      </c>
      <c r="BF16" s="119"/>
      <c r="BG16" s="119"/>
      <c r="BH16" s="120"/>
      <c r="BI16" s="17" t="s">
        <v>20</v>
      </c>
      <c r="BJ16" s="10"/>
      <c r="BK16" s="18" t="s">
        <v>20</v>
      </c>
      <c r="BL16" s="20"/>
      <c r="BM16" s="7"/>
      <c r="BN16" s="7"/>
      <c r="BO16" s="16">
        <f t="shared" si="0"/>
        <v>28</v>
      </c>
      <c r="BP16" s="109"/>
      <c r="BQ16" s="114"/>
    </row>
    <row r="17" spans="2:74" ht="26.1" customHeight="1" x14ac:dyDescent="0.3">
      <c r="B17" s="6" t="s">
        <v>21</v>
      </c>
      <c r="C17" s="18" t="s">
        <v>21</v>
      </c>
      <c r="D17" s="10"/>
      <c r="E17" s="18" t="s">
        <v>21</v>
      </c>
      <c r="F17" s="10"/>
      <c r="G17" s="18" t="s">
        <v>21</v>
      </c>
      <c r="H17" s="10"/>
      <c r="I17" s="18" t="s">
        <v>21</v>
      </c>
      <c r="J17" s="10"/>
      <c r="K17" s="17" t="s">
        <v>21</v>
      </c>
      <c r="L17" s="10"/>
      <c r="M17" s="18" t="s">
        <v>21</v>
      </c>
      <c r="N17" s="10"/>
      <c r="O17" s="18" t="s">
        <v>21</v>
      </c>
      <c r="P17" s="10"/>
      <c r="Q17" s="18" t="s">
        <v>21</v>
      </c>
      <c r="R17" s="19"/>
      <c r="S17" s="17" t="s">
        <v>21</v>
      </c>
      <c r="T17" s="10"/>
      <c r="U17" s="18" t="s">
        <v>21</v>
      </c>
      <c r="V17" s="10"/>
      <c r="W17" s="18" t="s">
        <v>21</v>
      </c>
      <c r="X17" s="10"/>
      <c r="Y17" s="18" t="s">
        <v>21</v>
      </c>
      <c r="Z17" s="10"/>
      <c r="AA17" s="18" t="s">
        <v>21</v>
      </c>
      <c r="AB17" s="19"/>
      <c r="AC17" s="17" t="s">
        <v>21</v>
      </c>
      <c r="AD17" s="10"/>
      <c r="AE17" s="18" t="s">
        <v>21</v>
      </c>
      <c r="AF17" s="10"/>
      <c r="AG17" s="18" t="s">
        <v>21</v>
      </c>
      <c r="AH17" s="19"/>
      <c r="AI17" s="17" t="s">
        <v>21</v>
      </c>
      <c r="AJ17" s="10"/>
      <c r="AK17" s="18" t="s">
        <v>21</v>
      </c>
      <c r="AL17" s="10"/>
      <c r="AM17" s="18" t="s">
        <v>21</v>
      </c>
      <c r="AN17" s="19"/>
      <c r="AO17" s="17" t="s">
        <v>21</v>
      </c>
      <c r="AP17" s="10"/>
      <c r="AQ17" s="18" t="s">
        <v>21</v>
      </c>
      <c r="AR17" s="10"/>
      <c r="AS17" s="17" t="s">
        <v>21</v>
      </c>
      <c r="AT17" s="10"/>
      <c r="AU17" s="18" t="s">
        <v>21</v>
      </c>
      <c r="AV17" s="10"/>
      <c r="AW17" s="18" t="s">
        <v>21</v>
      </c>
      <c r="AX17" s="10"/>
      <c r="AY17" s="17" t="s">
        <v>21</v>
      </c>
      <c r="AZ17" s="10"/>
      <c r="BA17" s="18" t="s">
        <v>21</v>
      </c>
      <c r="BB17" s="10"/>
      <c r="BC17" s="23"/>
      <c r="BD17" s="24"/>
      <c r="BE17" s="11" t="s">
        <v>21</v>
      </c>
      <c r="BF17" s="12"/>
      <c r="BG17" s="13" t="s">
        <v>21</v>
      </c>
      <c r="BH17" s="12"/>
      <c r="BI17" s="18" t="s">
        <v>21</v>
      </c>
      <c r="BJ17" s="10"/>
      <c r="BK17" s="18" t="s">
        <v>21</v>
      </c>
      <c r="BL17" s="20"/>
      <c r="BM17" s="7">
        <f>BM20+27</f>
        <v>46204</v>
      </c>
      <c r="BN17" s="7"/>
      <c r="BO17" s="8">
        <f t="shared" si="0"/>
        <v>30</v>
      </c>
      <c r="BP17" s="107">
        <f>SUM(BO17:BO19)/$BQ$23</f>
        <v>0.989247311827957</v>
      </c>
      <c r="BQ17" s="110" t="s">
        <v>22</v>
      </c>
    </row>
    <row r="18" spans="2:74" ht="26.1" customHeight="1" x14ac:dyDescent="0.3">
      <c r="B18" s="6" t="s">
        <v>23</v>
      </c>
      <c r="C18" s="18" t="s">
        <v>23</v>
      </c>
      <c r="D18" s="10"/>
      <c r="E18" s="18" t="s">
        <v>23</v>
      </c>
      <c r="F18" s="10"/>
      <c r="G18" s="18" t="s">
        <v>23</v>
      </c>
      <c r="H18" s="10"/>
      <c r="I18" s="18" t="s">
        <v>23</v>
      </c>
      <c r="J18" s="10"/>
      <c r="K18" s="17" t="s">
        <v>23</v>
      </c>
      <c r="L18" s="10"/>
      <c r="M18" s="18" t="s">
        <v>23</v>
      </c>
      <c r="N18" s="10"/>
      <c r="O18" s="18" t="s">
        <v>23</v>
      </c>
      <c r="P18" s="10"/>
      <c r="Q18" s="18" t="s">
        <v>23</v>
      </c>
      <c r="R18" s="19"/>
      <c r="S18" s="17" t="s">
        <v>23</v>
      </c>
      <c r="T18" s="10"/>
      <c r="U18" s="18" t="s">
        <v>23</v>
      </c>
      <c r="V18" s="10"/>
      <c r="W18" s="18" t="s">
        <v>23</v>
      </c>
      <c r="X18" s="10"/>
      <c r="Y18" s="18" t="s">
        <v>23</v>
      </c>
      <c r="Z18" s="10"/>
      <c r="AA18" s="18" t="s">
        <v>23</v>
      </c>
      <c r="AB18" s="19"/>
      <c r="AC18" s="17" t="s">
        <v>23</v>
      </c>
      <c r="AD18" s="10"/>
      <c r="AE18" s="18" t="s">
        <v>23</v>
      </c>
      <c r="AF18" s="10"/>
      <c r="AG18" s="18" t="s">
        <v>23</v>
      </c>
      <c r="AH18" s="19"/>
      <c r="AI18" s="17" t="s">
        <v>23</v>
      </c>
      <c r="AJ18" s="10"/>
      <c r="AK18" s="18" t="s">
        <v>23</v>
      </c>
      <c r="AL18" s="10"/>
      <c r="AM18" s="18" t="s">
        <v>23</v>
      </c>
      <c r="AN18" s="19"/>
      <c r="AO18" s="17" t="s">
        <v>23</v>
      </c>
      <c r="AP18" s="10"/>
      <c r="AQ18" s="18" t="s">
        <v>23</v>
      </c>
      <c r="AR18" s="10"/>
      <c r="AS18" s="17" t="s">
        <v>23</v>
      </c>
      <c r="AT18" s="10"/>
      <c r="AU18" s="18" t="s">
        <v>23</v>
      </c>
      <c r="AV18" s="10"/>
      <c r="AW18" s="18" t="s">
        <v>23</v>
      </c>
      <c r="AX18" s="10"/>
      <c r="AY18" s="17" t="s">
        <v>23</v>
      </c>
      <c r="AZ18" s="10"/>
      <c r="BA18" s="18" t="s">
        <v>23</v>
      </c>
      <c r="BB18" s="10"/>
      <c r="BC18" s="18" t="s">
        <v>23</v>
      </c>
      <c r="BD18" s="10"/>
      <c r="BE18" s="17" t="s">
        <v>23</v>
      </c>
      <c r="BF18" s="10"/>
      <c r="BG18" s="18" t="s">
        <v>23</v>
      </c>
      <c r="BH18" s="10"/>
      <c r="BI18" s="18" t="s">
        <v>23</v>
      </c>
      <c r="BJ18" s="10"/>
      <c r="BK18" s="18" t="s">
        <v>23</v>
      </c>
      <c r="BL18" s="20"/>
      <c r="BM18" s="7"/>
      <c r="BN18" s="7"/>
      <c r="BO18" s="9">
        <f t="shared" si="0"/>
        <v>31</v>
      </c>
      <c r="BP18" s="108"/>
      <c r="BQ18" s="111"/>
    </row>
    <row r="19" spans="2:74" ht="26.1" customHeight="1" x14ac:dyDescent="0.3">
      <c r="B19" s="6" t="s">
        <v>24</v>
      </c>
      <c r="C19" s="18" t="s">
        <v>24</v>
      </c>
      <c r="D19" s="10"/>
      <c r="E19" s="18" t="s">
        <v>24</v>
      </c>
      <c r="F19" s="10"/>
      <c r="G19" s="18" t="s">
        <v>24</v>
      </c>
      <c r="H19" s="10"/>
      <c r="I19" s="18" t="s">
        <v>24</v>
      </c>
      <c r="J19" s="10"/>
      <c r="K19" s="17" t="s">
        <v>24</v>
      </c>
      <c r="L19" s="10"/>
      <c r="M19" s="18" t="s">
        <v>24</v>
      </c>
      <c r="N19" s="10"/>
      <c r="O19" s="18" t="s">
        <v>24</v>
      </c>
      <c r="P19" s="10"/>
      <c r="Q19" s="18" t="s">
        <v>24</v>
      </c>
      <c r="R19" s="19"/>
      <c r="S19" s="17" t="s">
        <v>24</v>
      </c>
      <c r="T19" s="10"/>
      <c r="U19" s="18" t="s">
        <v>24</v>
      </c>
      <c r="V19" s="10"/>
      <c r="W19" s="18" t="s">
        <v>24</v>
      </c>
      <c r="X19" s="10"/>
      <c r="Y19" s="18" t="s">
        <v>24</v>
      </c>
      <c r="Z19" s="10"/>
      <c r="AA19" s="18" t="s">
        <v>24</v>
      </c>
      <c r="AB19" s="19"/>
      <c r="AC19" s="17" t="s">
        <v>24</v>
      </c>
      <c r="AD19" s="10"/>
      <c r="AE19" s="18" t="s">
        <v>24</v>
      </c>
      <c r="AF19" s="10"/>
      <c r="AG19" s="18" t="s">
        <v>24</v>
      </c>
      <c r="AH19" s="19"/>
      <c r="AI19" s="17" t="s">
        <v>24</v>
      </c>
      <c r="AJ19" s="10"/>
      <c r="AK19" s="18" t="s">
        <v>24</v>
      </c>
      <c r="AL19" s="10"/>
      <c r="AM19" s="18" t="s">
        <v>24</v>
      </c>
      <c r="AN19" s="19"/>
      <c r="AO19" s="17" t="s">
        <v>24</v>
      </c>
      <c r="AP19" s="10"/>
      <c r="AQ19" s="18" t="s">
        <v>24</v>
      </c>
      <c r="AR19" s="10"/>
      <c r="AS19" s="17" t="s">
        <v>24</v>
      </c>
      <c r="AT19" s="10"/>
      <c r="AU19" s="18" t="s">
        <v>24</v>
      </c>
      <c r="AV19" s="10"/>
      <c r="AW19" s="18" t="s">
        <v>24</v>
      </c>
      <c r="AX19" s="10"/>
      <c r="AY19" s="17" t="s">
        <v>24</v>
      </c>
      <c r="AZ19" s="10"/>
      <c r="BA19" s="18" t="s">
        <v>24</v>
      </c>
      <c r="BB19" s="10"/>
      <c r="BC19" s="18" t="s">
        <v>24</v>
      </c>
      <c r="BD19" s="10"/>
      <c r="BE19" s="17" t="s">
        <v>24</v>
      </c>
      <c r="BF19" s="10"/>
      <c r="BG19" s="18" t="s">
        <v>24</v>
      </c>
      <c r="BH19" s="10"/>
      <c r="BI19" s="18" t="s">
        <v>24</v>
      </c>
      <c r="BJ19" s="10"/>
      <c r="BK19" s="18" t="s">
        <v>24</v>
      </c>
      <c r="BL19" s="20"/>
      <c r="BM19" s="7"/>
      <c r="BN19" s="7"/>
      <c r="BO19" s="16">
        <f t="shared" si="0"/>
        <v>31</v>
      </c>
      <c r="BP19" s="109"/>
      <c r="BQ19" s="112"/>
    </row>
    <row r="20" spans="2:74" ht="26.1" customHeight="1" x14ac:dyDescent="0.3">
      <c r="B20" s="6" t="s">
        <v>25</v>
      </c>
      <c r="C20" s="18" t="s">
        <v>25</v>
      </c>
      <c r="D20" s="10"/>
      <c r="E20" s="18" t="s">
        <v>25</v>
      </c>
      <c r="F20" s="10"/>
      <c r="G20" s="18" t="s">
        <v>25</v>
      </c>
      <c r="H20" s="10"/>
      <c r="I20" s="18" t="s">
        <v>25</v>
      </c>
      <c r="J20" s="10"/>
      <c r="K20" s="17" t="s">
        <v>25</v>
      </c>
      <c r="L20" s="10"/>
      <c r="M20" s="18" t="s">
        <v>25</v>
      </c>
      <c r="N20" s="10"/>
      <c r="O20" s="18" t="s">
        <v>25</v>
      </c>
      <c r="P20" s="10"/>
      <c r="Q20" s="18" t="s">
        <v>25</v>
      </c>
      <c r="R20" s="19"/>
      <c r="S20" s="17" t="s">
        <v>25</v>
      </c>
      <c r="T20" s="10"/>
      <c r="U20" s="18" t="s">
        <v>25</v>
      </c>
      <c r="V20" s="10"/>
      <c r="W20" s="18" t="s">
        <v>25</v>
      </c>
      <c r="X20" s="10"/>
      <c r="Y20" s="18" t="s">
        <v>25</v>
      </c>
      <c r="Z20" s="10"/>
      <c r="AA20" s="18" t="s">
        <v>25</v>
      </c>
      <c r="AB20" s="19"/>
      <c r="AC20" s="17" t="s">
        <v>25</v>
      </c>
      <c r="AD20" s="10"/>
      <c r="AE20" s="18" t="s">
        <v>25</v>
      </c>
      <c r="AF20" s="10"/>
      <c r="AG20" s="18" t="s">
        <v>25</v>
      </c>
      <c r="AH20" s="19"/>
      <c r="AI20" s="17" t="s">
        <v>25</v>
      </c>
      <c r="AJ20" s="10"/>
      <c r="AK20" s="18" t="s">
        <v>25</v>
      </c>
      <c r="AL20" s="10"/>
      <c r="AM20" s="18" t="s">
        <v>25</v>
      </c>
      <c r="AN20" s="19"/>
      <c r="AO20" s="17" t="s">
        <v>25</v>
      </c>
      <c r="AP20" s="10"/>
      <c r="AQ20" s="18" t="s">
        <v>25</v>
      </c>
      <c r="AR20" s="10"/>
      <c r="AS20" s="17" t="s">
        <v>25</v>
      </c>
      <c r="AT20" s="10"/>
      <c r="AU20" s="18" t="s">
        <v>25</v>
      </c>
      <c r="AV20" s="10"/>
      <c r="AW20" s="18" t="s">
        <v>25</v>
      </c>
      <c r="AX20" s="10"/>
      <c r="AY20" s="17" t="s">
        <v>25</v>
      </c>
      <c r="AZ20" s="10"/>
      <c r="BA20" s="18" t="s">
        <v>25</v>
      </c>
      <c r="BB20" s="10"/>
      <c r="BC20" s="18" t="s">
        <v>25</v>
      </c>
      <c r="BD20" s="10"/>
      <c r="BE20" s="17" t="s">
        <v>25</v>
      </c>
      <c r="BF20" s="10"/>
      <c r="BG20" s="18" t="s">
        <v>25</v>
      </c>
      <c r="BH20" s="10"/>
      <c r="BI20" s="18" t="s">
        <v>25</v>
      </c>
      <c r="BJ20" s="10"/>
      <c r="BK20" s="18" t="s">
        <v>25</v>
      </c>
      <c r="BL20" s="20"/>
      <c r="BM20" s="7">
        <f>BM23+27</f>
        <v>46177</v>
      </c>
      <c r="BN20" s="7"/>
      <c r="BO20" s="8">
        <f t="shared" si="0"/>
        <v>31</v>
      </c>
      <c r="BP20" s="107">
        <f>SUM(BO20:BO22)/$BQ$23</f>
        <v>1</v>
      </c>
      <c r="BQ20" s="110" t="s">
        <v>26</v>
      </c>
      <c r="BT20" s="122" t="s">
        <v>113</v>
      </c>
      <c r="BU20" s="122"/>
      <c r="BV20" s="122"/>
    </row>
    <row r="21" spans="2:74" ht="26.1" customHeight="1" x14ac:dyDescent="0.3">
      <c r="B21" s="6" t="s">
        <v>27</v>
      </c>
      <c r="C21" s="18" t="s">
        <v>27</v>
      </c>
      <c r="D21" s="10"/>
      <c r="E21" s="18" t="s">
        <v>27</v>
      </c>
      <c r="F21" s="10"/>
      <c r="G21" s="18" t="s">
        <v>27</v>
      </c>
      <c r="H21" s="10"/>
      <c r="I21" s="18" t="s">
        <v>27</v>
      </c>
      <c r="J21" s="10"/>
      <c r="K21" s="17" t="s">
        <v>27</v>
      </c>
      <c r="L21" s="10"/>
      <c r="M21" s="18" t="s">
        <v>27</v>
      </c>
      <c r="N21" s="10"/>
      <c r="O21" s="18" t="s">
        <v>27</v>
      </c>
      <c r="P21" s="10"/>
      <c r="Q21" s="18" t="s">
        <v>27</v>
      </c>
      <c r="R21" s="19"/>
      <c r="S21" s="17" t="s">
        <v>27</v>
      </c>
      <c r="T21" s="10"/>
      <c r="U21" s="18" t="s">
        <v>27</v>
      </c>
      <c r="V21" s="10"/>
      <c r="W21" s="18" t="s">
        <v>27</v>
      </c>
      <c r="X21" s="10"/>
      <c r="Y21" s="18" t="s">
        <v>27</v>
      </c>
      <c r="Z21" s="10"/>
      <c r="AA21" s="18" t="s">
        <v>27</v>
      </c>
      <c r="AB21" s="19"/>
      <c r="AC21" s="17" t="s">
        <v>27</v>
      </c>
      <c r="AD21" s="10"/>
      <c r="AE21" s="18" t="s">
        <v>27</v>
      </c>
      <c r="AF21" s="10"/>
      <c r="AG21" s="18" t="s">
        <v>27</v>
      </c>
      <c r="AH21" s="19"/>
      <c r="AI21" s="17" t="s">
        <v>27</v>
      </c>
      <c r="AJ21" s="10"/>
      <c r="AK21" s="18" t="s">
        <v>27</v>
      </c>
      <c r="AL21" s="10"/>
      <c r="AM21" s="18" t="s">
        <v>27</v>
      </c>
      <c r="AN21" s="19"/>
      <c r="AO21" s="17" t="s">
        <v>27</v>
      </c>
      <c r="AP21" s="10"/>
      <c r="AQ21" s="18" t="s">
        <v>27</v>
      </c>
      <c r="AR21" s="10"/>
      <c r="AS21" s="17" t="s">
        <v>27</v>
      </c>
      <c r="AT21" s="10"/>
      <c r="AU21" s="18" t="s">
        <v>27</v>
      </c>
      <c r="AV21" s="10"/>
      <c r="AW21" s="18" t="s">
        <v>27</v>
      </c>
      <c r="AX21" s="10"/>
      <c r="AY21" s="17" t="s">
        <v>27</v>
      </c>
      <c r="AZ21" s="10"/>
      <c r="BA21" s="18" t="s">
        <v>27</v>
      </c>
      <c r="BB21" s="10"/>
      <c r="BC21" s="18" t="s">
        <v>27</v>
      </c>
      <c r="BD21" s="10"/>
      <c r="BE21" s="17" t="s">
        <v>27</v>
      </c>
      <c r="BF21" s="10"/>
      <c r="BG21" s="18" t="s">
        <v>27</v>
      </c>
      <c r="BH21" s="10"/>
      <c r="BI21" s="18" t="s">
        <v>27</v>
      </c>
      <c r="BJ21" s="10"/>
      <c r="BK21" s="18" t="s">
        <v>27</v>
      </c>
      <c r="BL21" s="20"/>
      <c r="BM21" s="7"/>
      <c r="BN21" s="7"/>
      <c r="BO21" s="9">
        <f t="shared" si="0"/>
        <v>31</v>
      </c>
      <c r="BP21" s="108"/>
      <c r="BQ21" s="113"/>
    </row>
    <row r="22" spans="2:74" ht="26.1" customHeight="1" x14ac:dyDescent="0.3">
      <c r="B22" s="6" t="s">
        <v>28</v>
      </c>
      <c r="C22" s="18" t="s">
        <v>28</v>
      </c>
      <c r="D22" s="10"/>
      <c r="E22" s="18" t="s">
        <v>28</v>
      </c>
      <c r="F22" s="10"/>
      <c r="G22" s="18" t="s">
        <v>28</v>
      </c>
      <c r="H22" s="10"/>
      <c r="I22" s="18" t="s">
        <v>28</v>
      </c>
      <c r="J22" s="10"/>
      <c r="K22" s="17" t="s">
        <v>28</v>
      </c>
      <c r="L22" s="10"/>
      <c r="M22" s="18" t="s">
        <v>28</v>
      </c>
      <c r="N22" s="10"/>
      <c r="O22" s="18" t="s">
        <v>28</v>
      </c>
      <c r="P22" s="10"/>
      <c r="Q22" s="18" t="s">
        <v>28</v>
      </c>
      <c r="R22" s="19"/>
      <c r="S22" s="17" t="s">
        <v>28</v>
      </c>
      <c r="T22" s="10"/>
      <c r="U22" s="18" t="s">
        <v>28</v>
      </c>
      <c r="V22" s="10"/>
      <c r="W22" s="18" t="s">
        <v>28</v>
      </c>
      <c r="X22" s="10"/>
      <c r="Y22" s="18" t="s">
        <v>28</v>
      </c>
      <c r="Z22" s="10"/>
      <c r="AA22" s="18" t="s">
        <v>28</v>
      </c>
      <c r="AB22" s="19"/>
      <c r="AC22" s="17" t="s">
        <v>28</v>
      </c>
      <c r="AD22" s="10"/>
      <c r="AE22" s="18" t="s">
        <v>28</v>
      </c>
      <c r="AF22" s="10"/>
      <c r="AG22" s="18" t="s">
        <v>28</v>
      </c>
      <c r="AH22" s="19"/>
      <c r="AI22" s="17" t="s">
        <v>28</v>
      </c>
      <c r="AJ22" s="10"/>
      <c r="AK22" s="18" t="s">
        <v>28</v>
      </c>
      <c r="AL22" s="10"/>
      <c r="AM22" s="18" t="s">
        <v>28</v>
      </c>
      <c r="AN22" s="19"/>
      <c r="AO22" s="17" t="s">
        <v>28</v>
      </c>
      <c r="AP22" s="10"/>
      <c r="AQ22" s="18" t="s">
        <v>28</v>
      </c>
      <c r="AR22" s="10"/>
      <c r="AS22" s="17" t="s">
        <v>28</v>
      </c>
      <c r="AT22" s="10"/>
      <c r="AU22" s="18" t="s">
        <v>28</v>
      </c>
      <c r="AV22" s="10"/>
      <c r="AW22" s="18" t="s">
        <v>28</v>
      </c>
      <c r="AX22" s="10"/>
      <c r="AY22" s="17" t="s">
        <v>28</v>
      </c>
      <c r="AZ22" s="10"/>
      <c r="BA22" s="18" t="s">
        <v>28</v>
      </c>
      <c r="BB22" s="10"/>
      <c r="BC22" s="18" t="s">
        <v>28</v>
      </c>
      <c r="BD22" s="10"/>
      <c r="BE22" s="17" t="s">
        <v>28</v>
      </c>
      <c r="BF22" s="10"/>
      <c r="BG22" s="18" t="s">
        <v>28</v>
      </c>
      <c r="BH22" s="10"/>
      <c r="BI22" s="18" t="s">
        <v>28</v>
      </c>
      <c r="BJ22" s="10"/>
      <c r="BK22" s="18" t="s">
        <v>28</v>
      </c>
      <c r="BL22" s="20"/>
      <c r="BM22" s="7"/>
      <c r="BN22" s="7"/>
      <c r="BO22" s="16">
        <f t="shared" si="0"/>
        <v>31</v>
      </c>
      <c r="BP22" s="109"/>
      <c r="BQ22" s="114"/>
    </row>
    <row r="23" spans="2:74" ht="26.1" customHeight="1" x14ac:dyDescent="0.3">
      <c r="B23" s="6" t="s">
        <v>29</v>
      </c>
      <c r="C23" s="18" t="s">
        <v>29</v>
      </c>
      <c r="D23" s="10"/>
      <c r="E23" s="18" t="s">
        <v>29</v>
      </c>
      <c r="F23" s="10"/>
      <c r="G23" s="18" t="s">
        <v>29</v>
      </c>
      <c r="H23" s="10"/>
      <c r="I23" s="18" t="s">
        <v>29</v>
      </c>
      <c r="J23" s="10"/>
      <c r="K23" s="17" t="s">
        <v>29</v>
      </c>
      <c r="L23" s="10"/>
      <c r="M23" s="18" t="s">
        <v>29</v>
      </c>
      <c r="N23" s="10"/>
      <c r="O23" s="18" t="s">
        <v>29</v>
      </c>
      <c r="P23" s="10"/>
      <c r="Q23" s="18" t="s">
        <v>29</v>
      </c>
      <c r="R23" s="19"/>
      <c r="S23" s="17" t="s">
        <v>29</v>
      </c>
      <c r="T23" s="10"/>
      <c r="U23" s="18" t="s">
        <v>29</v>
      </c>
      <c r="V23" s="10"/>
      <c r="W23" s="18" t="s">
        <v>29</v>
      </c>
      <c r="X23" s="10"/>
      <c r="Y23" s="18" t="s">
        <v>29</v>
      </c>
      <c r="Z23" s="10"/>
      <c r="AA23" s="18" t="s">
        <v>29</v>
      </c>
      <c r="AB23" s="19"/>
      <c r="AC23" s="17" t="s">
        <v>29</v>
      </c>
      <c r="AD23" s="10"/>
      <c r="AE23" s="18" t="s">
        <v>29</v>
      </c>
      <c r="AF23" s="10"/>
      <c r="AG23" s="18" t="s">
        <v>29</v>
      </c>
      <c r="AH23" s="19"/>
      <c r="AI23" s="17" t="s">
        <v>29</v>
      </c>
      <c r="AJ23" s="10"/>
      <c r="AK23" s="18" t="s">
        <v>29</v>
      </c>
      <c r="AL23" s="10"/>
      <c r="AM23" s="18" t="s">
        <v>29</v>
      </c>
      <c r="AN23" s="19"/>
      <c r="AO23" s="17" t="s">
        <v>29</v>
      </c>
      <c r="AP23" s="10"/>
      <c r="AQ23" s="18" t="s">
        <v>29</v>
      </c>
      <c r="AR23" s="10"/>
      <c r="AS23" s="17" t="s">
        <v>29</v>
      </c>
      <c r="AT23" s="10"/>
      <c r="AU23" s="18" t="s">
        <v>29</v>
      </c>
      <c r="AV23" s="10"/>
      <c r="AW23" s="18" t="s">
        <v>29</v>
      </c>
      <c r="AX23" s="10"/>
      <c r="AY23" s="17" t="s">
        <v>29</v>
      </c>
      <c r="AZ23" s="10"/>
      <c r="BA23" s="18" t="s">
        <v>29</v>
      </c>
      <c r="BB23" s="10"/>
      <c r="BC23" s="18" t="s">
        <v>29</v>
      </c>
      <c r="BD23" s="10"/>
      <c r="BE23" s="17" t="s">
        <v>29</v>
      </c>
      <c r="BF23" s="10"/>
      <c r="BG23" s="18" t="s">
        <v>29</v>
      </c>
      <c r="BH23" s="10"/>
      <c r="BI23" s="18" t="s">
        <v>29</v>
      </c>
      <c r="BJ23" s="10"/>
      <c r="BK23" s="18" t="s">
        <v>29</v>
      </c>
      <c r="BL23" s="20"/>
      <c r="BM23" s="7">
        <f>BM26+27</f>
        <v>46150</v>
      </c>
      <c r="BN23" s="7"/>
      <c r="BP23" s="2" t="s">
        <v>30</v>
      </c>
      <c r="BQ23" s="2">
        <v>93</v>
      </c>
    </row>
    <row r="24" spans="2:74" ht="26.1" customHeight="1" x14ac:dyDescent="0.3">
      <c r="B24" s="6" t="s">
        <v>31</v>
      </c>
      <c r="C24" s="18" t="s">
        <v>31</v>
      </c>
      <c r="D24" s="10"/>
      <c r="E24" s="18" t="s">
        <v>31</v>
      </c>
      <c r="F24" s="10"/>
      <c r="G24" s="18" t="s">
        <v>31</v>
      </c>
      <c r="H24" s="10"/>
      <c r="I24" s="18" t="s">
        <v>31</v>
      </c>
      <c r="J24" s="10"/>
      <c r="K24" s="17" t="s">
        <v>31</v>
      </c>
      <c r="L24" s="10"/>
      <c r="M24" s="18" t="s">
        <v>31</v>
      </c>
      <c r="N24" s="10"/>
      <c r="O24" s="18" t="s">
        <v>31</v>
      </c>
      <c r="P24" s="10"/>
      <c r="Q24" s="18" t="s">
        <v>31</v>
      </c>
      <c r="R24" s="19"/>
      <c r="S24" s="17" t="s">
        <v>31</v>
      </c>
      <c r="T24" s="10"/>
      <c r="U24" s="18" t="s">
        <v>31</v>
      </c>
      <c r="V24" s="10"/>
      <c r="W24" s="18" t="s">
        <v>31</v>
      </c>
      <c r="X24" s="10"/>
      <c r="Y24" s="18" t="s">
        <v>31</v>
      </c>
      <c r="Z24" s="10"/>
      <c r="AA24" s="18" t="s">
        <v>31</v>
      </c>
      <c r="AB24" s="19"/>
      <c r="AC24" s="17" t="s">
        <v>31</v>
      </c>
      <c r="AD24" s="10"/>
      <c r="AE24" s="18" t="s">
        <v>31</v>
      </c>
      <c r="AF24" s="10"/>
      <c r="AG24" s="18" t="s">
        <v>31</v>
      </c>
      <c r="AH24" s="19"/>
      <c r="AI24" s="17" t="s">
        <v>31</v>
      </c>
      <c r="AJ24" s="10"/>
      <c r="AK24" s="18" t="s">
        <v>31</v>
      </c>
      <c r="AL24" s="10"/>
      <c r="AM24" s="18" t="s">
        <v>31</v>
      </c>
      <c r="AN24" s="19"/>
      <c r="AO24" s="17" t="s">
        <v>31</v>
      </c>
      <c r="AP24" s="10"/>
      <c r="AQ24" s="18" t="s">
        <v>31</v>
      </c>
      <c r="AR24" s="10"/>
      <c r="AS24" s="17" t="s">
        <v>31</v>
      </c>
      <c r="AT24" s="10"/>
      <c r="AU24" s="18" t="s">
        <v>31</v>
      </c>
      <c r="AV24" s="10"/>
      <c r="AW24" s="18" t="s">
        <v>31</v>
      </c>
      <c r="AX24" s="10"/>
      <c r="AY24" s="17" t="s">
        <v>31</v>
      </c>
      <c r="AZ24" s="10"/>
      <c r="BA24" s="18" t="s">
        <v>31</v>
      </c>
      <c r="BB24" s="10"/>
      <c r="BC24" s="18" t="s">
        <v>31</v>
      </c>
      <c r="BD24" s="10"/>
      <c r="BE24" s="17" t="s">
        <v>31</v>
      </c>
      <c r="BF24" s="10"/>
      <c r="BG24" s="18" t="s">
        <v>31</v>
      </c>
      <c r="BH24" s="10"/>
      <c r="BI24" s="18" t="s">
        <v>31</v>
      </c>
      <c r="BJ24" s="10"/>
      <c r="BK24" s="18" t="s">
        <v>31</v>
      </c>
      <c r="BL24" s="20"/>
      <c r="BM24" s="7"/>
      <c r="BN24" s="7"/>
    </row>
    <row r="25" spans="2:74" ht="26.1" customHeight="1" x14ac:dyDescent="0.3">
      <c r="B25" s="6" t="s">
        <v>32</v>
      </c>
      <c r="C25" s="18" t="s">
        <v>32</v>
      </c>
      <c r="D25" s="10"/>
      <c r="E25" s="18" t="s">
        <v>32</v>
      </c>
      <c r="F25" s="10"/>
      <c r="G25" s="18" t="s">
        <v>32</v>
      </c>
      <c r="H25" s="10"/>
      <c r="I25" s="18" t="s">
        <v>32</v>
      </c>
      <c r="J25" s="10"/>
      <c r="K25" s="17" t="s">
        <v>32</v>
      </c>
      <c r="L25" s="10"/>
      <c r="M25" s="18" t="s">
        <v>32</v>
      </c>
      <c r="N25" s="10"/>
      <c r="O25" s="18" t="s">
        <v>32</v>
      </c>
      <c r="P25" s="10"/>
      <c r="Q25" s="18" t="s">
        <v>32</v>
      </c>
      <c r="R25" s="19"/>
      <c r="S25" s="17" t="s">
        <v>32</v>
      </c>
      <c r="T25" s="10"/>
      <c r="U25" s="18" t="s">
        <v>32</v>
      </c>
      <c r="V25" s="10"/>
      <c r="W25" s="18" t="s">
        <v>32</v>
      </c>
      <c r="X25" s="10"/>
      <c r="Y25" s="18" t="s">
        <v>32</v>
      </c>
      <c r="Z25" s="10"/>
      <c r="AA25" s="18" t="s">
        <v>32</v>
      </c>
      <c r="AB25" s="19"/>
      <c r="AC25" s="17" t="s">
        <v>32</v>
      </c>
      <c r="AD25" s="10"/>
      <c r="AE25" s="18" t="s">
        <v>32</v>
      </c>
      <c r="AF25" s="10"/>
      <c r="AG25" s="18" t="s">
        <v>32</v>
      </c>
      <c r="AH25" s="19"/>
      <c r="AI25" s="17" t="s">
        <v>32</v>
      </c>
      <c r="AJ25" s="10"/>
      <c r="AK25" s="18" t="s">
        <v>32</v>
      </c>
      <c r="AL25" s="10"/>
      <c r="AM25" s="18" t="s">
        <v>32</v>
      </c>
      <c r="AN25" s="19"/>
      <c r="AO25" s="17" t="s">
        <v>32</v>
      </c>
      <c r="AP25" s="10"/>
      <c r="AQ25" s="18" t="s">
        <v>32</v>
      </c>
      <c r="AR25" s="10"/>
      <c r="AS25" s="17" t="s">
        <v>32</v>
      </c>
      <c r="AT25" s="10"/>
      <c r="AU25" s="18" t="s">
        <v>32</v>
      </c>
      <c r="AV25" s="10"/>
      <c r="AW25" s="18" t="s">
        <v>32</v>
      </c>
      <c r="AX25" s="10"/>
      <c r="AY25" s="17" t="s">
        <v>32</v>
      </c>
      <c r="AZ25" s="10"/>
      <c r="BA25" s="18" t="s">
        <v>32</v>
      </c>
      <c r="BB25" s="10"/>
      <c r="BC25" s="18" t="s">
        <v>32</v>
      </c>
      <c r="BD25" s="10"/>
      <c r="BE25" s="17" t="s">
        <v>32</v>
      </c>
      <c r="BF25" s="10"/>
      <c r="BG25" s="18" t="s">
        <v>32</v>
      </c>
      <c r="BH25" s="10"/>
      <c r="BI25" s="18" t="s">
        <v>32</v>
      </c>
      <c r="BJ25" s="10"/>
      <c r="BK25" s="18" t="s">
        <v>32</v>
      </c>
      <c r="BL25" s="20"/>
      <c r="BM25" s="7"/>
      <c r="BN25" s="7"/>
    </row>
    <row r="26" spans="2:74" ht="26.1" customHeight="1" x14ac:dyDescent="0.3">
      <c r="B26" s="6" t="s">
        <v>33</v>
      </c>
      <c r="C26" s="18" t="s">
        <v>33</v>
      </c>
      <c r="D26" s="10"/>
      <c r="E26" s="18" t="s">
        <v>33</v>
      </c>
      <c r="F26" s="10"/>
      <c r="G26" s="18" t="s">
        <v>33</v>
      </c>
      <c r="H26" s="10"/>
      <c r="I26" s="18" t="s">
        <v>33</v>
      </c>
      <c r="J26" s="10"/>
      <c r="K26" s="17" t="s">
        <v>33</v>
      </c>
      <c r="L26" s="10"/>
      <c r="M26" s="18" t="s">
        <v>33</v>
      </c>
      <c r="N26" s="10"/>
      <c r="O26" s="18" t="s">
        <v>33</v>
      </c>
      <c r="P26" s="10"/>
      <c r="Q26" s="18" t="s">
        <v>33</v>
      </c>
      <c r="R26" s="19"/>
      <c r="S26" s="17" t="s">
        <v>33</v>
      </c>
      <c r="T26" s="10"/>
      <c r="U26" s="18" t="s">
        <v>33</v>
      </c>
      <c r="V26" s="10"/>
      <c r="W26" s="18" t="s">
        <v>33</v>
      </c>
      <c r="X26" s="10"/>
      <c r="Y26" s="18" t="s">
        <v>33</v>
      </c>
      <c r="Z26" s="10"/>
      <c r="AA26" s="18" t="s">
        <v>33</v>
      </c>
      <c r="AB26" s="19"/>
      <c r="AC26" s="17" t="s">
        <v>33</v>
      </c>
      <c r="AD26" s="10"/>
      <c r="AE26" s="18" t="s">
        <v>33</v>
      </c>
      <c r="AF26" s="10"/>
      <c r="AG26" s="18" t="s">
        <v>33</v>
      </c>
      <c r="AH26" s="19"/>
      <c r="AI26" s="17" t="s">
        <v>33</v>
      </c>
      <c r="AJ26" s="10"/>
      <c r="AK26" s="18" t="s">
        <v>33</v>
      </c>
      <c r="AL26" s="10"/>
      <c r="AM26" s="18" t="s">
        <v>33</v>
      </c>
      <c r="AN26" s="19"/>
      <c r="AO26" s="17" t="s">
        <v>33</v>
      </c>
      <c r="AP26" s="10"/>
      <c r="AQ26" s="18" t="s">
        <v>33</v>
      </c>
      <c r="AR26" s="10"/>
      <c r="AS26" s="17" t="s">
        <v>33</v>
      </c>
      <c r="AT26" s="10"/>
      <c r="AU26" s="18" t="s">
        <v>33</v>
      </c>
      <c r="AV26" s="10"/>
      <c r="AW26" s="18" t="s">
        <v>33</v>
      </c>
      <c r="AX26" s="10"/>
      <c r="AY26" s="17" t="s">
        <v>33</v>
      </c>
      <c r="AZ26" s="10"/>
      <c r="BA26" s="18" t="s">
        <v>33</v>
      </c>
      <c r="BB26" s="10"/>
      <c r="BC26" s="18" t="s">
        <v>33</v>
      </c>
      <c r="BD26" s="10"/>
      <c r="BE26" s="17" t="s">
        <v>33</v>
      </c>
      <c r="BF26" s="10"/>
      <c r="BG26" s="18" t="s">
        <v>33</v>
      </c>
      <c r="BH26" s="10"/>
      <c r="BI26" s="18" t="s">
        <v>33</v>
      </c>
      <c r="BJ26" s="10"/>
      <c r="BK26" s="18" t="s">
        <v>33</v>
      </c>
      <c r="BL26" s="20"/>
      <c r="BM26" s="7">
        <f>BM29+27</f>
        <v>46123</v>
      </c>
      <c r="BN26" s="7"/>
    </row>
    <row r="27" spans="2:74" ht="26.1" customHeight="1" x14ac:dyDescent="0.3">
      <c r="B27" s="6" t="s">
        <v>34</v>
      </c>
      <c r="C27" s="18" t="s">
        <v>34</v>
      </c>
      <c r="D27" s="10"/>
      <c r="E27" s="18" t="s">
        <v>34</v>
      </c>
      <c r="F27" s="10"/>
      <c r="G27" s="18" t="s">
        <v>34</v>
      </c>
      <c r="H27" s="10"/>
      <c r="I27" s="18" t="s">
        <v>34</v>
      </c>
      <c r="J27" s="10"/>
      <c r="K27" s="17" t="s">
        <v>34</v>
      </c>
      <c r="L27" s="10"/>
      <c r="M27" s="18" t="s">
        <v>34</v>
      </c>
      <c r="N27" s="10"/>
      <c r="O27" s="18" t="s">
        <v>34</v>
      </c>
      <c r="P27" s="10"/>
      <c r="Q27" s="18" t="s">
        <v>34</v>
      </c>
      <c r="R27" s="19"/>
      <c r="S27" s="17" t="s">
        <v>34</v>
      </c>
      <c r="T27" s="10"/>
      <c r="U27" s="18" t="s">
        <v>34</v>
      </c>
      <c r="V27" s="10"/>
      <c r="W27" s="18" t="s">
        <v>34</v>
      </c>
      <c r="X27" s="10"/>
      <c r="Y27" s="18" t="s">
        <v>34</v>
      </c>
      <c r="Z27" s="10"/>
      <c r="AA27" s="18" t="s">
        <v>34</v>
      </c>
      <c r="AB27" s="19"/>
      <c r="AC27" s="17" t="s">
        <v>34</v>
      </c>
      <c r="AD27" s="10"/>
      <c r="AE27" s="18" t="s">
        <v>34</v>
      </c>
      <c r="AF27" s="10"/>
      <c r="AG27" s="18" t="s">
        <v>34</v>
      </c>
      <c r="AH27" s="19"/>
      <c r="AI27" s="17" t="s">
        <v>34</v>
      </c>
      <c r="AJ27" s="10"/>
      <c r="AK27" s="18" t="s">
        <v>34</v>
      </c>
      <c r="AL27" s="10"/>
      <c r="AM27" s="18" t="s">
        <v>34</v>
      </c>
      <c r="AN27" s="19"/>
      <c r="AO27" s="17" t="s">
        <v>34</v>
      </c>
      <c r="AP27" s="10"/>
      <c r="AQ27" s="18" t="s">
        <v>34</v>
      </c>
      <c r="AR27" s="10"/>
      <c r="AS27" s="17" t="s">
        <v>34</v>
      </c>
      <c r="AT27" s="10"/>
      <c r="AU27" s="18" t="s">
        <v>34</v>
      </c>
      <c r="AV27" s="10"/>
      <c r="AW27" s="18" t="s">
        <v>34</v>
      </c>
      <c r="AX27" s="10"/>
      <c r="AY27" s="17" t="s">
        <v>34</v>
      </c>
      <c r="AZ27" s="10"/>
      <c r="BA27" s="18" t="s">
        <v>34</v>
      </c>
      <c r="BB27" s="10"/>
      <c r="BC27" s="18" t="s">
        <v>34</v>
      </c>
      <c r="BD27" s="10"/>
      <c r="BE27" s="17" t="s">
        <v>34</v>
      </c>
      <c r="BF27" s="10"/>
      <c r="BG27" s="18" t="s">
        <v>34</v>
      </c>
      <c r="BH27" s="10"/>
      <c r="BI27" s="18" t="s">
        <v>34</v>
      </c>
      <c r="BJ27" s="10"/>
      <c r="BK27" s="18" t="s">
        <v>34</v>
      </c>
      <c r="BL27" s="20"/>
      <c r="BM27" s="7"/>
      <c r="BN27" s="7"/>
      <c r="BO27" s="115" t="s">
        <v>35</v>
      </c>
      <c r="BP27" s="115"/>
      <c r="BQ27" s="116" t="s">
        <v>36</v>
      </c>
      <c r="BR27" s="117"/>
      <c r="BS27" s="117"/>
      <c r="BT27" s="117"/>
      <c r="BU27" s="117"/>
      <c r="BV27" s="118"/>
    </row>
    <row r="28" spans="2:74" ht="26.1" customHeight="1" x14ac:dyDescent="0.3">
      <c r="B28" s="6" t="s">
        <v>37</v>
      </c>
      <c r="C28" s="18" t="s">
        <v>37</v>
      </c>
      <c r="D28" s="10"/>
      <c r="E28" s="18" t="s">
        <v>37</v>
      </c>
      <c r="F28" s="10"/>
      <c r="G28" s="18" t="s">
        <v>37</v>
      </c>
      <c r="H28" s="10"/>
      <c r="I28" s="18" t="s">
        <v>37</v>
      </c>
      <c r="J28" s="10"/>
      <c r="K28" s="17" t="s">
        <v>37</v>
      </c>
      <c r="L28" s="10"/>
      <c r="M28" s="18" t="s">
        <v>37</v>
      </c>
      <c r="N28" s="10"/>
      <c r="O28" s="18" t="s">
        <v>37</v>
      </c>
      <c r="P28" s="10"/>
      <c r="Q28" s="18" t="s">
        <v>37</v>
      </c>
      <c r="R28" s="19"/>
      <c r="S28" s="17" t="s">
        <v>37</v>
      </c>
      <c r="T28" s="10"/>
      <c r="U28" s="18" t="s">
        <v>37</v>
      </c>
      <c r="V28" s="10"/>
      <c r="W28" s="18" t="s">
        <v>37</v>
      </c>
      <c r="X28" s="10"/>
      <c r="Y28" s="18" t="s">
        <v>37</v>
      </c>
      <c r="Z28" s="10"/>
      <c r="AA28" s="18" t="s">
        <v>37</v>
      </c>
      <c r="AB28" s="19"/>
      <c r="AC28" s="17" t="s">
        <v>37</v>
      </c>
      <c r="AD28" s="10"/>
      <c r="AE28" s="18" t="s">
        <v>37</v>
      </c>
      <c r="AF28" s="10"/>
      <c r="AG28" s="18" t="s">
        <v>37</v>
      </c>
      <c r="AH28" s="19"/>
      <c r="AI28" s="17" t="s">
        <v>37</v>
      </c>
      <c r="AJ28" s="10"/>
      <c r="AK28" s="18" t="s">
        <v>37</v>
      </c>
      <c r="AL28" s="10"/>
      <c r="AM28" s="18" t="s">
        <v>37</v>
      </c>
      <c r="AN28" s="19"/>
      <c r="AO28" s="17" t="s">
        <v>37</v>
      </c>
      <c r="AP28" s="10"/>
      <c r="AQ28" s="18" t="s">
        <v>37</v>
      </c>
      <c r="AR28" s="10"/>
      <c r="AS28" s="17" t="s">
        <v>37</v>
      </c>
      <c r="AT28" s="10"/>
      <c r="AU28" s="18" t="s">
        <v>37</v>
      </c>
      <c r="AV28" s="10"/>
      <c r="AW28" s="18" t="s">
        <v>37</v>
      </c>
      <c r="AX28" s="10"/>
      <c r="AY28" s="17" t="s">
        <v>37</v>
      </c>
      <c r="AZ28" s="10"/>
      <c r="BA28" s="18" t="s">
        <v>37</v>
      </c>
      <c r="BB28" s="10"/>
      <c r="BC28" s="18" t="s">
        <v>37</v>
      </c>
      <c r="BD28" s="10"/>
      <c r="BE28" s="17" t="s">
        <v>37</v>
      </c>
      <c r="BF28" s="10"/>
      <c r="BG28" s="18" t="s">
        <v>37</v>
      </c>
      <c r="BH28" s="10"/>
      <c r="BI28" s="18" t="s">
        <v>37</v>
      </c>
      <c r="BJ28" s="10"/>
      <c r="BK28" s="18" t="s">
        <v>37</v>
      </c>
      <c r="BL28" s="20"/>
      <c r="BM28" s="7"/>
      <c r="BN28" s="7"/>
      <c r="BO28" s="25" t="s">
        <v>35</v>
      </c>
      <c r="BP28" s="25" t="s">
        <v>38</v>
      </c>
      <c r="BQ28" s="26" t="s">
        <v>39</v>
      </c>
      <c r="BR28" s="27" t="s">
        <v>40</v>
      </c>
      <c r="BS28" s="28" t="s">
        <v>41</v>
      </c>
      <c r="BT28" s="29" t="s">
        <v>42</v>
      </c>
      <c r="BU28" s="30" t="s">
        <v>43</v>
      </c>
      <c r="BV28" s="25" t="s">
        <v>44</v>
      </c>
    </row>
    <row r="29" spans="2:74" ht="26.1" customHeight="1" x14ac:dyDescent="0.3">
      <c r="B29" s="6" t="s">
        <v>45</v>
      </c>
      <c r="C29" s="18" t="s">
        <v>45</v>
      </c>
      <c r="D29" s="10"/>
      <c r="E29" s="18" t="s">
        <v>45</v>
      </c>
      <c r="F29" s="10"/>
      <c r="G29" s="18" t="s">
        <v>45</v>
      </c>
      <c r="H29" s="10"/>
      <c r="I29" s="18" t="s">
        <v>45</v>
      </c>
      <c r="J29" s="10"/>
      <c r="K29" s="17" t="s">
        <v>45</v>
      </c>
      <c r="L29" s="10"/>
      <c r="M29" s="18" t="s">
        <v>45</v>
      </c>
      <c r="N29" s="10"/>
      <c r="O29" s="18" t="s">
        <v>45</v>
      </c>
      <c r="P29" s="10"/>
      <c r="Q29" s="18" t="s">
        <v>45</v>
      </c>
      <c r="R29" s="19"/>
      <c r="S29" s="17" t="s">
        <v>45</v>
      </c>
      <c r="T29" s="10"/>
      <c r="U29" s="18" t="s">
        <v>45</v>
      </c>
      <c r="V29" s="10"/>
      <c r="W29" s="18" t="s">
        <v>45</v>
      </c>
      <c r="X29" s="10"/>
      <c r="Y29" s="18" t="s">
        <v>45</v>
      </c>
      <c r="Z29" s="10"/>
      <c r="AA29" s="18" t="s">
        <v>45</v>
      </c>
      <c r="AB29" s="19"/>
      <c r="AC29" s="17" t="s">
        <v>45</v>
      </c>
      <c r="AD29" s="10"/>
      <c r="AE29" s="18" t="s">
        <v>45</v>
      </c>
      <c r="AF29" s="10"/>
      <c r="AG29" s="18" t="s">
        <v>45</v>
      </c>
      <c r="AH29" s="19"/>
      <c r="AI29" s="17" t="s">
        <v>45</v>
      </c>
      <c r="AJ29" s="10"/>
      <c r="AK29" s="18" t="s">
        <v>45</v>
      </c>
      <c r="AL29" s="10"/>
      <c r="AM29" s="18" t="s">
        <v>45</v>
      </c>
      <c r="AN29" s="19"/>
      <c r="AO29" s="17" t="s">
        <v>45</v>
      </c>
      <c r="AP29" s="10"/>
      <c r="AQ29" s="18" t="s">
        <v>45</v>
      </c>
      <c r="AR29" s="10"/>
      <c r="AS29" s="17" t="s">
        <v>45</v>
      </c>
      <c r="AT29" s="10"/>
      <c r="AU29" s="18" t="s">
        <v>45</v>
      </c>
      <c r="AV29" s="10"/>
      <c r="AW29" s="18" t="s">
        <v>45</v>
      </c>
      <c r="AX29" s="10"/>
      <c r="AY29" s="17" t="s">
        <v>45</v>
      </c>
      <c r="AZ29" s="10"/>
      <c r="BA29" s="18" t="s">
        <v>45</v>
      </c>
      <c r="BB29" s="10"/>
      <c r="BC29" s="18" t="s">
        <v>45</v>
      </c>
      <c r="BD29" s="10"/>
      <c r="BE29" s="17" t="s">
        <v>45</v>
      </c>
      <c r="BF29" s="10"/>
      <c r="BG29" s="18" t="s">
        <v>45</v>
      </c>
      <c r="BH29" s="10"/>
      <c r="BI29" s="18" t="s">
        <v>45</v>
      </c>
      <c r="BJ29" s="10"/>
      <c r="BK29" s="18" t="s">
        <v>45</v>
      </c>
      <c r="BL29" s="20"/>
      <c r="BM29" s="7">
        <f>BM32+58</f>
        <v>46096</v>
      </c>
      <c r="BN29" s="7"/>
      <c r="BO29" s="25" t="s">
        <v>46</v>
      </c>
      <c r="BP29" s="25" t="s">
        <v>47</v>
      </c>
      <c r="BQ29" s="31">
        <f>COUNTA(C15:C31,E15:E31,I12:I31)</f>
        <v>53</v>
      </c>
      <c r="BR29" s="31">
        <f>COUNTA(G12:G31)</f>
        <v>19</v>
      </c>
      <c r="BS29" s="31"/>
      <c r="BT29" s="31"/>
      <c r="BU29" s="31"/>
      <c r="BV29" s="31">
        <f>SUM(BQ29:BU29)</f>
        <v>72</v>
      </c>
    </row>
    <row r="30" spans="2:74" ht="26.1" customHeight="1" x14ac:dyDescent="0.3">
      <c r="B30" s="6" t="s">
        <v>48</v>
      </c>
      <c r="C30" s="18" t="s">
        <v>49</v>
      </c>
      <c r="D30" s="10"/>
      <c r="E30" s="18" t="s">
        <v>49</v>
      </c>
      <c r="F30" s="10"/>
      <c r="G30" s="18" t="s">
        <v>49</v>
      </c>
      <c r="H30" s="10"/>
      <c r="I30" s="18" t="s">
        <v>49</v>
      </c>
      <c r="J30" s="10"/>
      <c r="K30" s="17" t="s">
        <v>49</v>
      </c>
      <c r="L30" s="10"/>
      <c r="M30" s="18" t="s">
        <v>49</v>
      </c>
      <c r="N30" s="10"/>
      <c r="O30" s="18" t="s">
        <v>49</v>
      </c>
      <c r="P30" s="10"/>
      <c r="Q30" s="18" t="s">
        <v>49</v>
      </c>
      <c r="R30" s="19"/>
      <c r="S30" s="32"/>
      <c r="T30" s="10"/>
      <c r="U30" s="18" t="s">
        <v>49</v>
      </c>
      <c r="V30" s="10"/>
      <c r="W30" s="18" t="s">
        <v>49</v>
      </c>
      <c r="X30" s="10"/>
      <c r="Y30" s="18" t="s">
        <v>49</v>
      </c>
      <c r="Z30" s="10"/>
      <c r="AA30" s="33"/>
      <c r="AB30" s="19"/>
      <c r="AC30" s="17" t="s">
        <v>49</v>
      </c>
      <c r="AD30" s="10"/>
      <c r="AE30" s="18" t="s">
        <v>49</v>
      </c>
      <c r="AF30" s="10"/>
      <c r="AG30" s="33"/>
      <c r="AH30" s="19"/>
      <c r="AI30" s="32"/>
      <c r="AJ30" s="10"/>
      <c r="AK30" s="18" t="s">
        <v>49</v>
      </c>
      <c r="AL30" s="10"/>
      <c r="AM30" s="18" t="s">
        <v>49</v>
      </c>
      <c r="AN30" s="19"/>
      <c r="AO30" s="32"/>
      <c r="AP30" s="10"/>
      <c r="AQ30" s="18" t="s">
        <v>49</v>
      </c>
      <c r="AR30" s="10"/>
      <c r="AS30" s="17" t="s">
        <v>49</v>
      </c>
      <c r="AT30" s="10"/>
      <c r="AU30" s="18" t="s">
        <v>49</v>
      </c>
      <c r="AV30" s="10"/>
      <c r="AW30" s="18" t="s">
        <v>49</v>
      </c>
      <c r="AX30" s="10"/>
      <c r="AY30" s="17" t="s">
        <v>49</v>
      </c>
      <c r="AZ30" s="10"/>
      <c r="BA30" s="18" t="s">
        <v>49</v>
      </c>
      <c r="BB30" s="10"/>
      <c r="BC30" s="18" t="s">
        <v>49</v>
      </c>
      <c r="BD30" s="10"/>
      <c r="BE30" s="17" t="s">
        <v>49</v>
      </c>
      <c r="BF30" s="10"/>
      <c r="BG30" s="18" t="s">
        <v>49</v>
      </c>
      <c r="BH30" s="10"/>
      <c r="BI30" s="18" t="s">
        <v>49</v>
      </c>
      <c r="BJ30" s="10"/>
      <c r="BK30" s="18" t="s">
        <v>49</v>
      </c>
      <c r="BL30" s="20"/>
      <c r="BM30" s="7"/>
      <c r="BN30" s="7"/>
      <c r="BO30" s="25" t="s">
        <v>50</v>
      </c>
      <c r="BP30" s="25" t="s">
        <v>51</v>
      </c>
      <c r="BQ30" s="31"/>
      <c r="BR30" s="31"/>
      <c r="BS30" s="31"/>
      <c r="BT30" s="31">
        <f>COUNTA(K14:K31,O7:R31)</f>
        <v>68</v>
      </c>
      <c r="BU30" s="31">
        <f>COUNTA(M7:M31)</f>
        <v>25</v>
      </c>
      <c r="BV30" s="31">
        <f t="shared" ref="BV30:BV37" si="1">SUM(BQ30:BU30)</f>
        <v>93</v>
      </c>
    </row>
    <row r="31" spans="2:74" ht="26.1" customHeight="1" x14ac:dyDescent="0.3">
      <c r="B31" s="6" t="s">
        <v>52</v>
      </c>
      <c r="C31" s="18" t="s">
        <v>53</v>
      </c>
      <c r="D31" s="10"/>
      <c r="E31" s="18" t="s">
        <v>53</v>
      </c>
      <c r="F31" s="10"/>
      <c r="G31" s="33"/>
      <c r="H31" s="10"/>
      <c r="I31" s="33"/>
      <c r="J31" s="10"/>
      <c r="K31" s="17" t="s">
        <v>53</v>
      </c>
      <c r="L31" s="10"/>
      <c r="M31" s="18" t="s">
        <v>53</v>
      </c>
      <c r="N31" s="10"/>
      <c r="O31" s="18" t="s">
        <v>53</v>
      </c>
      <c r="P31" s="10"/>
      <c r="Q31" s="18" t="s">
        <v>53</v>
      </c>
      <c r="R31" s="19"/>
      <c r="S31" s="32"/>
      <c r="T31" s="10"/>
      <c r="U31" s="18" t="s">
        <v>53</v>
      </c>
      <c r="V31" s="10"/>
      <c r="W31" s="18" t="s">
        <v>53</v>
      </c>
      <c r="X31" s="10"/>
      <c r="Y31" s="18" t="s">
        <v>53</v>
      </c>
      <c r="Z31" s="10"/>
      <c r="AA31" s="33"/>
      <c r="AB31" s="19"/>
      <c r="AC31" s="17" t="s">
        <v>53</v>
      </c>
      <c r="AD31" s="10"/>
      <c r="AE31" s="18" t="s">
        <v>53</v>
      </c>
      <c r="AF31" s="10"/>
      <c r="AG31" s="33"/>
      <c r="AH31" s="19"/>
      <c r="AI31" s="32"/>
      <c r="AJ31" s="10"/>
      <c r="AK31" s="33"/>
      <c r="AL31" s="10"/>
      <c r="AM31" s="33"/>
      <c r="AN31" s="19"/>
      <c r="AO31" s="32"/>
      <c r="AP31" s="10"/>
      <c r="AQ31" s="18" t="s">
        <v>53</v>
      </c>
      <c r="AR31" s="10"/>
      <c r="AS31" s="32"/>
      <c r="AT31" s="10"/>
      <c r="AU31" s="33"/>
      <c r="AV31" s="10"/>
      <c r="AW31" s="33"/>
      <c r="AX31" s="10"/>
      <c r="AY31" s="32"/>
      <c r="AZ31" s="10"/>
      <c r="BA31" s="33"/>
      <c r="BB31" s="10"/>
      <c r="BC31" s="33"/>
      <c r="BD31" s="10"/>
      <c r="BE31" s="17" t="s">
        <v>53</v>
      </c>
      <c r="BF31" s="10"/>
      <c r="BG31" s="18" t="s">
        <v>53</v>
      </c>
      <c r="BH31" s="10"/>
      <c r="BI31" s="18" t="s">
        <v>53</v>
      </c>
      <c r="BJ31" s="10"/>
      <c r="BK31" s="18" t="s">
        <v>53</v>
      </c>
      <c r="BL31" s="20"/>
      <c r="BM31" s="7"/>
      <c r="BN31" s="7"/>
      <c r="BO31" s="25" t="s">
        <v>54</v>
      </c>
      <c r="BP31" s="25" t="s">
        <v>55</v>
      </c>
      <c r="BQ31" s="31">
        <f>COUNTA(S14:W31,W12:W13)</f>
        <v>54</v>
      </c>
      <c r="BR31" s="31">
        <f>COUNTA(Y12:Y31)</f>
        <v>20</v>
      </c>
      <c r="BS31" s="31">
        <f>COUNTA(AA12:AA31)</f>
        <v>18</v>
      </c>
      <c r="BT31" s="31"/>
      <c r="BU31" s="31"/>
      <c r="BV31" s="31">
        <f t="shared" si="1"/>
        <v>92</v>
      </c>
    </row>
    <row r="32" spans="2:74" ht="26.1" customHeight="1" x14ac:dyDescent="0.3">
      <c r="B32" s="6" t="s">
        <v>56</v>
      </c>
      <c r="C32" s="18" t="s">
        <v>57</v>
      </c>
      <c r="D32" s="10"/>
      <c r="E32" s="18" t="s">
        <v>57</v>
      </c>
      <c r="F32" s="10"/>
      <c r="G32" s="18" t="s">
        <v>57</v>
      </c>
      <c r="H32" s="10"/>
      <c r="I32" s="18" t="s">
        <v>57</v>
      </c>
      <c r="J32" s="10"/>
      <c r="K32" s="17" t="s">
        <v>57</v>
      </c>
      <c r="L32" s="10"/>
      <c r="M32" s="18" t="s">
        <v>57</v>
      </c>
      <c r="N32" s="10"/>
      <c r="O32" s="18" t="s">
        <v>57</v>
      </c>
      <c r="P32" s="10"/>
      <c r="Q32" s="18" t="s">
        <v>57</v>
      </c>
      <c r="R32" s="19"/>
      <c r="S32" s="17" t="s">
        <v>57</v>
      </c>
      <c r="T32" s="10"/>
      <c r="U32" s="18" t="s">
        <v>57</v>
      </c>
      <c r="V32" s="10"/>
      <c r="W32" s="18" t="s">
        <v>57</v>
      </c>
      <c r="X32" s="10"/>
      <c r="Y32" s="18" t="s">
        <v>57</v>
      </c>
      <c r="Z32" s="10"/>
      <c r="AA32" s="18" t="s">
        <v>57</v>
      </c>
      <c r="AB32" s="19"/>
      <c r="AC32" s="17" t="s">
        <v>57</v>
      </c>
      <c r="AD32" s="10"/>
      <c r="AE32" s="18" t="s">
        <v>57</v>
      </c>
      <c r="AF32" s="10"/>
      <c r="AG32" s="18" t="s">
        <v>57</v>
      </c>
      <c r="AH32" s="19"/>
      <c r="AI32" s="17" t="s">
        <v>57</v>
      </c>
      <c r="AJ32" s="10"/>
      <c r="AK32" s="18" t="s">
        <v>57</v>
      </c>
      <c r="AL32" s="10"/>
      <c r="AM32" s="18" t="s">
        <v>57</v>
      </c>
      <c r="AN32" s="19"/>
      <c r="AO32" s="17" t="s">
        <v>57</v>
      </c>
      <c r="AP32" s="10"/>
      <c r="AQ32" s="18" t="s">
        <v>57</v>
      </c>
      <c r="AR32" s="10"/>
      <c r="AS32" s="17" t="s">
        <v>57</v>
      </c>
      <c r="AT32" s="10"/>
      <c r="AU32" s="18" t="s">
        <v>57</v>
      </c>
      <c r="AV32" s="10"/>
      <c r="AW32" s="18" t="s">
        <v>57</v>
      </c>
      <c r="AX32" s="10"/>
      <c r="AY32" s="17" t="s">
        <v>57</v>
      </c>
      <c r="AZ32" s="10"/>
      <c r="BA32" s="18" t="s">
        <v>57</v>
      </c>
      <c r="BB32" s="10"/>
      <c r="BC32" s="18" t="s">
        <v>57</v>
      </c>
      <c r="BD32" s="10"/>
      <c r="BE32" s="17" t="s">
        <v>57</v>
      </c>
      <c r="BF32" s="10"/>
      <c r="BG32" s="18" t="s">
        <v>57</v>
      </c>
      <c r="BH32" s="10"/>
      <c r="BI32" s="18" t="s">
        <v>57</v>
      </c>
      <c r="BJ32" s="10"/>
      <c r="BK32" s="18" t="s">
        <v>57</v>
      </c>
      <c r="BL32" s="20"/>
      <c r="BM32" s="7">
        <f>BM34+89+23</f>
        <v>46038</v>
      </c>
      <c r="BN32" s="7"/>
      <c r="BO32" s="25" t="s">
        <v>58</v>
      </c>
      <c r="BP32" s="25">
        <v>20</v>
      </c>
      <c r="BQ32" s="31">
        <f>COUNTA(AC12:AC31)</f>
        <v>20</v>
      </c>
      <c r="BR32" s="31">
        <f>COUNTA(AE12:AE31)</f>
        <v>20</v>
      </c>
      <c r="BS32" s="31">
        <f>COUNTA(AG12:AG31)</f>
        <v>18</v>
      </c>
      <c r="BT32" s="31"/>
      <c r="BU32" s="31"/>
      <c r="BV32" s="31">
        <f t="shared" si="1"/>
        <v>58</v>
      </c>
    </row>
    <row r="33" spans="1:79" ht="26.1" customHeight="1" x14ac:dyDescent="0.3">
      <c r="B33" s="6" t="s">
        <v>59</v>
      </c>
      <c r="C33" s="18" t="s">
        <v>60</v>
      </c>
      <c r="D33" s="10"/>
      <c r="E33" s="18" t="s">
        <v>60</v>
      </c>
      <c r="F33" s="10"/>
      <c r="G33" s="18" t="s">
        <v>60</v>
      </c>
      <c r="H33" s="10"/>
      <c r="I33" s="18" t="s">
        <v>60</v>
      </c>
      <c r="J33" s="19"/>
      <c r="K33" s="17" t="s">
        <v>60</v>
      </c>
      <c r="L33" s="10"/>
      <c r="M33" s="18" t="s">
        <v>60</v>
      </c>
      <c r="N33" s="10"/>
      <c r="O33" s="18" t="s">
        <v>60</v>
      </c>
      <c r="P33" s="10"/>
      <c r="Q33" s="18" t="s">
        <v>60</v>
      </c>
      <c r="R33" s="19"/>
      <c r="S33" s="17" t="s">
        <v>60</v>
      </c>
      <c r="T33" s="10"/>
      <c r="U33" s="18" t="s">
        <v>60</v>
      </c>
      <c r="V33" s="10"/>
      <c r="W33" s="18" t="s">
        <v>60</v>
      </c>
      <c r="X33" s="10"/>
      <c r="Y33" s="18" t="s">
        <v>60</v>
      </c>
      <c r="Z33" s="10"/>
      <c r="AA33" s="18" t="s">
        <v>60</v>
      </c>
      <c r="AB33" s="19"/>
      <c r="AC33" s="17" t="s">
        <v>60</v>
      </c>
      <c r="AD33" s="10"/>
      <c r="AE33" s="18" t="s">
        <v>60</v>
      </c>
      <c r="AF33" s="10"/>
      <c r="AG33" s="18" t="s">
        <v>60</v>
      </c>
      <c r="AH33" s="19"/>
      <c r="AI33" s="17" t="s">
        <v>60</v>
      </c>
      <c r="AJ33" s="10"/>
      <c r="AK33" s="18" t="s">
        <v>60</v>
      </c>
      <c r="AL33" s="10"/>
      <c r="AM33" s="18" t="s">
        <v>60</v>
      </c>
      <c r="AN33" s="19"/>
      <c r="AO33" s="17" t="s">
        <v>60</v>
      </c>
      <c r="AP33" s="10"/>
      <c r="AQ33" s="18" t="s">
        <v>60</v>
      </c>
      <c r="AR33" s="19"/>
      <c r="AS33" s="17" t="s">
        <v>60</v>
      </c>
      <c r="AT33" s="10"/>
      <c r="AU33" s="18" t="s">
        <v>60</v>
      </c>
      <c r="AV33" s="10"/>
      <c r="AW33" s="18" t="s">
        <v>60</v>
      </c>
      <c r="AX33" s="19"/>
      <c r="AY33" s="17" t="s">
        <v>60</v>
      </c>
      <c r="AZ33" s="10"/>
      <c r="BA33" s="18" t="s">
        <v>60</v>
      </c>
      <c r="BB33" s="10"/>
      <c r="BC33" s="18" t="s">
        <v>60</v>
      </c>
      <c r="BD33" s="19"/>
      <c r="BE33" s="17" t="s">
        <v>60</v>
      </c>
      <c r="BF33" s="10"/>
      <c r="BG33" s="18" t="s">
        <v>60</v>
      </c>
      <c r="BH33" s="10"/>
      <c r="BI33" s="18" t="s">
        <v>60</v>
      </c>
      <c r="BJ33" s="10"/>
      <c r="BK33" s="18" t="s">
        <v>60</v>
      </c>
      <c r="BL33" s="20"/>
      <c r="BM33" s="7"/>
      <c r="BN33" s="7"/>
      <c r="BO33" s="25" t="s">
        <v>61</v>
      </c>
      <c r="BP33" s="25">
        <v>20</v>
      </c>
      <c r="BQ33" s="31">
        <f>COUNTA(AI12:AI31)</f>
        <v>18</v>
      </c>
      <c r="BR33" s="31">
        <f>COUNTA(AK12:AK31)</f>
        <v>19</v>
      </c>
      <c r="BS33" s="31">
        <f>COUNTA(AM12:AM31)</f>
        <v>19</v>
      </c>
      <c r="BT33" s="31"/>
      <c r="BU33" s="31"/>
      <c r="BV33" s="31">
        <f t="shared" si="1"/>
        <v>56</v>
      </c>
    </row>
    <row r="34" spans="1:79" ht="26.1" customHeight="1" x14ac:dyDescent="0.3">
      <c r="B34" s="6" t="s">
        <v>62</v>
      </c>
      <c r="C34" s="34" t="s">
        <v>62</v>
      </c>
      <c r="D34" s="35"/>
      <c r="E34" s="34" t="s">
        <v>62</v>
      </c>
      <c r="F34" s="35"/>
      <c r="G34" s="34" t="s">
        <v>62</v>
      </c>
      <c r="H34" s="35"/>
      <c r="I34" s="34" t="s">
        <v>62</v>
      </c>
      <c r="J34" s="36"/>
      <c r="K34" s="37" t="s">
        <v>62</v>
      </c>
      <c r="L34" s="35"/>
      <c r="M34" s="34" t="s">
        <v>62</v>
      </c>
      <c r="N34" s="35"/>
      <c r="O34" s="34" t="s">
        <v>62</v>
      </c>
      <c r="P34" s="35"/>
      <c r="Q34" s="34" t="s">
        <v>62</v>
      </c>
      <c r="R34" s="36"/>
      <c r="S34" s="37" t="s">
        <v>62</v>
      </c>
      <c r="T34" s="35"/>
      <c r="U34" s="38" t="s">
        <v>62</v>
      </c>
      <c r="V34" s="35"/>
      <c r="W34" s="38" t="s">
        <v>62</v>
      </c>
      <c r="X34" s="35"/>
      <c r="Y34" s="38" t="s">
        <v>62</v>
      </c>
      <c r="Z34" s="35"/>
      <c r="AA34" s="38" t="s">
        <v>62</v>
      </c>
      <c r="AB34" s="36"/>
      <c r="AC34" s="37" t="s">
        <v>62</v>
      </c>
      <c r="AD34" s="35"/>
      <c r="AE34" s="38" t="s">
        <v>62</v>
      </c>
      <c r="AF34" s="35"/>
      <c r="AG34" s="38" t="s">
        <v>62</v>
      </c>
      <c r="AH34" s="36"/>
      <c r="AI34" s="37" t="s">
        <v>62</v>
      </c>
      <c r="AJ34" s="35"/>
      <c r="AK34" s="38" t="s">
        <v>62</v>
      </c>
      <c r="AL34" s="35"/>
      <c r="AM34" s="38" t="s">
        <v>62</v>
      </c>
      <c r="AN34" s="36"/>
      <c r="AO34" s="37" t="s">
        <v>62</v>
      </c>
      <c r="AP34" s="35"/>
      <c r="AQ34" s="38" t="s">
        <v>62</v>
      </c>
      <c r="AR34" s="36"/>
      <c r="AS34" s="37" t="s">
        <v>62</v>
      </c>
      <c r="AT34" s="35"/>
      <c r="AU34" s="38" t="s">
        <v>62</v>
      </c>
      <c r="AV34" s="35"/>
      <c r="AW34" s="34" t="s">
        <v>62</v>
      </c>
      <c r="AX34" s="36"/>
      <c r="AY34" s="37" t="s">
        <v>62</v>
      </c>
      <c r="AZ34" s="35"/>
      <c r="BA34" s="34" t="s">
        <v>62</v>
      </c>
      <c r="BB34" s="35"/>
      <c r="BC34" s="34" t="s">
        <v>62</v>
      </c>
      <c r="BD34" s="36"/>
      <c r="BE34" s="37" t="s">
        <v>62</v>
      </c>
      <c r="BF34" s="35"/>
      <c r="BG34" s="34" t="s">
        <v>62</v>
      </c>
      <c r="BH34" s="35"/>
      <c r="BI34" s="34" t="s">
        <v>62</v>
      </c>
      <c r="BJ34" s="35"/>
      <c r="BK34" s="34" t="s">
        <v>62</v>
      </c>
      <c r="BL34" s="36"/>
      <c r="BM34" s="7">
        <f>BM36+81+9</f>
        <v>45926</v>
      </c>
      <c r="BN34" s="7"/>
      <c r="BO34" s="25" t="s">
        <v>63</v>
      </c>
      <c r="BP34" s="25">
        <v>16</v>
      </c>
      <c r="BQ34" s="31">
        <f>COUNTA(AQ16:AQ31)</f>
        <v>16</v>
      </c>
      <c r="BR34" s="31">
        <f>COUNTA(AO16:AO31)</f>
        <v>14</v>
      </c>
      <c r="BS34" s="31"/>
      <c r="BT34" s="31"/>
      <c r="BU34" s="31"/>
      <c r="BV34" s="31">
        <f t="shared" si="1"/>
        <v>30</v>
      </c>
    </row>
    <row r="35" spans="1:79" ht="26.1" customHeight="1" x14ac:dyDescent="0.3">
      <c r="B35" s="39"/>
      <c r="BM35" s="7"/>
      <c r="BN35" s="7"/>
      <c r="BO35" s="25" t="s">
        <v>64</v>
      </c>
      <c r="BP35" s="25" t="s">
        <v>65</v>
      </c>
      <c r="BQ35" s="31">
        <f>COUNTA(AS12:AS31,AW17:AW31)</f>
        <v>33</v>
      </c>
      <c r="BR35" s="31">
        <f>COUNTA(AU12:AU31)</f>
        <v>19</v>
      </c>
      <c r="BS35" s="31"/>
      <c r="BT35" s="31"/>
      <c r="BU35" s="31"/>
      <c r="BV35" s="31">
        <f t="shared" si="1"/>
        <v>52</v>
      </c>
    </row>
    <row r="36" spans="1:79" ht="26.1" customHeight="1" x14ac:dyDescent="0.3">
      <c r="B36" s="6" t="s">
        <v>66</v>
      </c>
      <c r="C36" s="99" t="s">
        <v>39</v>
      </c>
      <c r="D36" s="100"/>
      <c r="E36" s="99" t="s">
        <v>39</v>
      </c>
      <c r="F36" s="100"/>
      <c r="G36" s="101" t="s">
        <v>40</v>
      </c>
      <c r="H36" s="102"/>
      <c r="I36" s="99" t="s">
        <v>39</v>
      </c>
      <c r="J36" s="100"/>
      <c r="K36" s="95" t="s">
        <v>42</v>
      </c>
      <c r="L36" s="96"/>
      <c r="M36" s="103" t="s">
        <v>43</v>
      </c>
      <c r="N36" s="104"/>
      <c r="O36" s="95" t="s">
        <v>42</v>
      </c>
      <c r="P36" s="96"/>
      <c r="Q36" s="95" t="s">
        <v>42</v>
      </c>
      <c r="R36" s="96"/>
      <c r="S36" s="99" t="s">
        <v>39</v>
      </c>
      <c r="T36" s="100"/>
      <c r="U36" s="99" t="s">
        <v>39</v>
      </c>
      <c r="V36" s="100"/>
      <c r="W36" s="99" t="s">
        <v>39</v>
      </c>
      <c r="X36" s="100"/>
      <c r="Y36" s="101" t="s">
        <v>40</v>
      </c>
      <c r="Z36" s="102"/>
      <c r="AA36" s="105" t="s">
        <v>41</v>
      </c>
      <c r="AB36" s="106"/>
      <c r="AC36" s="99" t="s">
        <v>39</v>
      </c>
      <c r="AD36" s="100"/>
      <c r="AE36" s="101" t="s">
        <v>40</v>
      </c>
      <c r="AF36" s="102"/>
      <c r="AG36" s="105" t="s">
        <v>41</v>
      </c>
      <c r="AH36" s="106"/>
      <c r="AI36" s="99" t="s">
        <v>39</v>
      </c>
      <c r="AJ36" s="100"/>
      <c r="AK36" s="101" t="s">
        <v>40</v>
      </c>
      <c r="AL36" s="102"/>
      <c r="AM36" s="105" t="s">
        <v>41</v>
      </c>
      <c r="AN36" s="106"/>
      <c r="AO36" s="101" t="s">
        <v>40</v>
      </c>
      <c r="AP36" s="102"/>
      <c r="AQ36" s="99" t="s">
        <v>39</v>
      </c>
      <c r="AR36" s="100"/>
      <c r="AS36" s="99" t="s">
        <v>39</v>
      </c>
      <c r="AT36" s="100"/>
      <c r="AU36" s="101" t="s">
        <v>40</v>
      </c>
      <c r="AV36" s="102"/>
      <c r="AW36" s="99" t="s">
        <v>39</v>
      </c>
      <c r="AX36" s="100"/>
      <c r="AY36" s="99" t="s">
        <v>39</v>
      </c>
      <c r="AZ36" s="100"/>
      <c r="BA36" s="101" t="s">
        <v>40</v>
      </c>
      <c r="BB36" s="102"/>
      <c r="BC36" s="99" t="s">
        <v>39</v>
      </c>
      <c r="BD36" s="100"/>
      <c r="BE36" s="95" t="s">
        <v>42</v>
      </c>
      <c r="BF36" s="96"/>
      <c r="BG36" s="103" t="s">
        <v>43</v>
      </c>
      <c r="BH36" s="104"/>
      <c r="BI36" s="95" t="s">
        <v>42</v>
      </c>
      <c r="BJ36" s="96"/>
      <c r="BK36" s="95" t="s">
        <v>42</v>
      </c>
      <c r="BL36" s="96"/>
      <c r="BM36" s="7">
        <v>45836</v>
      </c>
      <c r="BN36" s="7"/>
      <c r="BO36" s="25" t="s">
        <v>67</v>
      </c>
      <c r="BP36" s="25" t="s">
        <v>68</v>
      </c>
      <c r="BQ36" s="31">
        <f>COUNTA(AY14:AY31,BC18:BC31)</f>
        <v>30</v>
      </c>
      <c r="BR36" s="31">
        <f>COUNTA(BA14:BA31)</f>
        <v>17</v>
      </c>
      <c r="BS36" s="31"/>
      <c r="BT36" s="31"/>
      <c r="BU36" s="31"/>
      <c r="BV36" s="31">
        <f t="shared" si="1"/>
        <v>47</v>
      </c>
      <c r="CA36" s="40"/>
    </row>
    <row r="37" spans="1:79" ht="26.1" customHeight="1" x14ac:dyDescent="0.3">
      <c r="B37" s="41" t="s">
        <v>35</v>
      </c>
      <c r="C37" s="97" t="s">
        <v>46</v>
      </c>
      <c r="D37" s="98"/>
      <c r="E37" s="98"/>
      <c r="F37" s="98"/>
      <c r="G37" s="98"/>
      <c r="H37" s="98"/>
      <c r="I37" s="98"/>
      <c r="J37" s="98"/>
      <c r="K37" s="98" t="s">
        <v>69</v>
      </c>
      <c r="L37" s="98"/>
      <c r="M37" s="98"/>
      <c r="N37" s="98"/>
      <c r="O37" s="98"/>
      <c r="P37" s="98"/>
      <c r="Q37" s="98"/>
      <c r="R37" s="98"/>
      <c r="S37" s="98" t="s">
        <v>70</v>
      </c>
      <c r="T37" s="98"/>
      <c r="U37" s="98"/>
      <c r="V37" s="98"/>
      <c r="W37" s="98"/>
      <c r="X37" s="98"/>
      <c r="Y37" s="98"/>
      <c r="Z37" s="98"/>
      <c r="AA37" s="98"/>
      <c r="AB37" s="98"/>
      <c r="AC37" s="98" t="s">
        <v>71</v>
      </c>
      <c r="AD37" s="98"/>
      <c r="AE37" s="98"/>
      <c r="AF37" s="98"/>
      <c r="AG37" s="98"/>
      <c r="AH37" s="98"/>
      <c r="AI37" s="98" t="s">
        <v>72</v>
      </c>
      <c r="AJ37" s="98"/>
      <c r="AK37" s="98"/>
      <c r="AL37" s="98"/>
      <c r="AM37" s="98"/>
      <c r="AN37" s="98"/>
      <c r="AO37" s="98" t="s">
        <v>73</v>
      </c>
      <c r="AP37" s="98"/>
      <c r="AQ37" s="98"/>
      <c r="AR37" s="98"/>
      <c r="AS37" s="98" t="s">
        <v>74</v>
      </c>
      <c r="AT37" s="98"/>
      <c r="AU37" s="98"/>
      <c r="AV37" s="98"/>
      <c r="AW37" s="98"/>
      <c r="AX37" s="98"/>
      <c r="AY37" s="98" t="s">
        <v>75</v>
      </c>
      <c r="AZ37" s="98"/>
      <c r="BA37" s="98"/>
      <c r="BB37" s="98"/>
      <c r="BC37" s="98"/>
      <c r="BD37" s="98"/>
      <c r="BE37" s="98" t="s">
        <v>76</v>
      </c>
      <c r="BF37" s="98"/>
      <c r="BG37" s="98"/>
      <c r="BH37" s="98"/>
      <c r="BI37" s="98"/>
      <c r="BJ37" s="98"/>
      <c r="BK37" s="98"/>
      <c r="BL37" s="98"/>
      <c r="BM37" s="7" t="s">
        <v>77</v>
      </c>
      <c r="BN37" s="7"/>
      <c r="BO37" s="25" t="s">
        <v>78</v>
      </c>
      <c r="BP37" s="25" t="s">
        <v>79</v>
      </c>
      <c r="BQ37" s="31"/>
      <c r="BR37" s="31"/>
      <c r="BS37" s="31"/>
      <c r="BT37" s="31">
        <f>COUNTA(BE17:BE31,BI7:BK31)</f>
        <v>65</v>
      </c>
      <c r="BU37" s="31">
        <f>COUNTA(BG17:BG31)</f>
        <v>15</v>
      </c>
      <c r="BV37" s="31">
        <f t="shared" si="1"/>
        <v>80</v>
      </c>
    </row>
    <row r="38" spans="1:79" ht="26.1" customHeight="1" x14ac:dyDescent="0.3">
      <c r="B38" s="92" t="s">
        <v>80</v>
      </c>
      <c r="C38" s="86" t="s">
        <v>81</v>
      </c>
      <c r="D38" s="87"/>
      <c r="E38" s="87"/>
      <c r="F38" s="87"/>
      <c r="G38" s="87"/>
      <c r="H38" s="87"/>
      <c r="I38" s="87"/>
      <c r="J38" s="88"/>
      <c r="K38" s="86" t="s">
        <v>82</v>
      </c>
      <c r="L38" s="87"/>
      <c r="M38" s="87"/>
      <c r="N38" s="87"/>
      <c r="O38" s="87"/>
      <c r="P38" s="87"/>
      <c r="Q38" s="87"/>
      <c r="R38" s="88"/>
      <c r="S38" s="86" t="s">
        <v>83</v>
      </c>
      <c r="T38" s="87"/>
      <c r="U38" s="87"/>
      <c r="V38" s="87"/>
      <c r="W38" s="87"/>
      <c r="X38" s="87"/>
      <c r="Y38" s="87"/>
      <c r="Z38" s="87"/>
      <c r="AA38" s="87"/>
      <c r="AB38" s="88"/>
      <c r="AC38" s="86" t="s">
        <v>84</v>
      </c>
      <c r="AD38" s="87"/>
      <c r="AE38" s="87"/>
      <c r="AF38" s="87"/>
      <c r="AG38" s="87"/>
      <c r="AH38" s="88"/>
      <c r="AI38" s="86" t="s">
        <v>85</v>
      </c>
      <c r="AJ38" s="87"/>
      <c r="AK38" s="87"/>
      <c r="AL38" s="87"/>
      <c r="AM38" s="87"/>
      <c r="AN38" s="88"/>
      <c r="AO38" s="86" t="s">
        <v>86</v>
      </c>
      <c r="AP38" s="87"/>
      <c r="AQ38" s="87"/>
      <c r="AR38" s="88"/>
      <c r="AS38" s="86" t="s">
        <v>87</v>
      </c>
      <c r="AT38" s="87"/>
      <c r="AU38" s="87"/>
      <c r="AV38" s="87"/>
      <c r="AW38" s="87"/>
      <c r="AX38" s="88"/>
      <c r="AY38" s="86" t="s">
        <v>88</v>
      </c>
      <c r="AZ38" s="87"/>
      <c r="BA38" s="87"/>
      <c r="BB38" s="87"/>
      <c r="BC38" s="87"/>
      <c r="BD38" s="88"/>
      <c r="BE38" s="86" t="s">
        <v>89</v>
      </c>
      <c r="BF38" s="87"/>
      <c r="BG38" s="87"/>
      <c r="BH38" s="87"/>
      <c r="BI38" s="87"/>
      <c r="BJ38" s="87"/>
      <c r="BK38" s="87"/>
      <c r="BL38" s="88"/>
      <c r="BM38" s="42" t="s">
        <v>90</v>
      </c>
      <c r="BN38"/>
      <c r="BO38" s="43" t="s">
        <v>44</v>
      </c>
      <c r="BP38" s="44">
        <f>SUM(BQ38:BU38)</f>
        <v>580</v>
      </c>
      <c r="BQ38" s="44">
        <f t="shared" ref="BQ38:BV38" si="2">SUM(BQ29:BQ37)</f>
        <v>224</v>
      </c>
      <c r="BR38" s="44">
        <f t="shared" si="2"/>
        <v>128</v>
      </c>
      <c r="BS38" s="44">
        <f t="shared" si="2"/>
        <v>55</v>
      </c>
      <c r="BT38" s="44">
        <f t="shared" si="2"/>
        <v>133</v>
      </c>
      <c r="BU38" s="44">
        <f t="shared" si="2"/>
        <v>40</v>
      </c>
      <c r="BV38" s="44">
        <f t="shared" si="2"/>
        <v>580</v>
      </c>
    </row>
    <row r="39" spans="1:79" ht="26.1" customHeight="1" x14ac:dyDescent="0.3">
      <c r="B39" s="93"/>
      <c r="C39" s="89" t="s">
        <v>91</v>
      </c>
      <c r="D39" s="90"/>
      <c r="E39" s="90"/>
      <c r="F39" s="90"/>
      <c r="G39" s="90"/>
      <c r="H39" s="90"/>
      <c r="I39" s="90"/>
      <c r="J39" s="91"/>
      <c r="K39" s="89"/>
      <c r="L39" s="90"/>
      <c r="M39" s="90"/>
      <c r="N39" s="90"/>
      <c r="O39" s="90"/>
      <c r="P39" s="90"/>
      <c r="Q39" s="90"/>
      <c r="R39" s="91"/>
      <c r="S39" s="89" t="s">
        <v>92</v>
      </c>
      <c r="T39" s="90"/>
      <c r="U39" s="90"/>
      <c r="V39" s="90"/>
      <c r="W39" s="90"/>
      <c r="X39" s="90"/>
      <c r="Y39" s="90"/>
      <c r="Z39" s="90"/>
      <c r="AA39" s="90"/>
      <c r="AB39" s="91"/>
      <c r="AC39" s="89"/>
      <c r="AD39" s="90"/>
      <c r="AE39" s="90"/>
      <c r="AF39" s="90"/>
      <c r="AG39" s="90"/>
      <c r="AH39" s="91"/>
      <c r="AI39" s="89"/>
      <c r="AJ39" s="90"/>
      <c r="AK39" s="90"/>
      <c r="AL39" s="90"/>
      <c r="AM39" s="90"/>
      <c r="AN39" s="91"/>
      <c r="AO39" s="89" t="s">
        <v>93</v>
      </c>
      <c r="AP39" s="90"/>
      <c r="AQ39" s="90"/>
      <c r="AR39" s="91"/>
      <c r="AS39" s="89" t="s">
        <v>94</v>
      </c>
      <c r="AT39" s="90"/>
      <c r="AU39" s="90"/>
      <c r="AV39" s="90"/>
      <c r="AW39" s="90"/>
      <c r="AX39" s="91"/>
      <c r="AY39" s="89" t="s">
        <v>95</v>
      </c>
      <c r="AZ39" s="90"/>
      <c r="BA39" s="90"/>
      <c r="BB39" s="90"/>
      <c r="BC39" s="90"/>
      <c r="BD39" s="91"/>
      <c r="BE39" s="89" t="s">
        <v>96</v>
      </c>
      <c r="BF39" s="90"/>
      <c r="BG39" s="90"/>
      <c r="BH39" s="90"/>
      <c r="BI39" s="90"/>
      <c r="BJ39" s="90"/>
      <c r="BK39" s="90"/>
      <c r="BL39" s="91"/>
      <c r="BM39"/>
      <c r="BN39"/>
    </row>
    <row r="40" spans="1:79" ht="26.1" customHeight="1" x14ac:dyDescent="0.3">
      <c r="B40" s="94"/>
      <c r="C40" s="83" t="s">
        <v>97</v>
      </c>
      <c r="D40" s="84"/>
      <c r="E40" s="84"/>
      <c r="F40" s="84"/>
      <c r="G40" s="84"/>
      <c r="H40" s="84"/>
      <c r="I40" s="84"/>
      <c r="J40" s="85"/>
      <c r="K40" s="83"/>
      <c r="L40" s="84"/>
      <c r="M40" s="84"/>
      <c r="N40" s="84"/>
      <c r="O40" s="84"/>
      <c r="P40" s="84"/>
      <c r="Q40" s="84"/>
      <c r="R40" s="85"/>
      <c r="S40" s="83"/>
      <c r="T40" s="84"/>
      <c r="U40" s="84"/>
      <c r="V40" s="84"/>
      <c r="W40" s="84"/>
      <c r="X40" s="84"/>
      <c r="Y40" s="84"/>
      <c r="Z40" s="84"/>
      <c r="AA40" s="84"/>
      <c r="AB40" s="85"/>
      <c r="AC40" s="83"/>
      <c r="AD40" s="84"/>
      <c r="AE40" s="84"/>
      <c r="AF40" s="84"/>
      <c r="AG40" s="84"/>
      <c r="AH40" s="85"/>
      <c r="AI40" s="83"/>
      <c r="AJ40" s="84"/>
      <c r="AK40" s="84"/>
      <c r="AL40" s="84"/>
      <c r="AM40" s="84"/>
      <c r="AN40" s="85"/>
      <c r="AO40" s="83" t="s">
        <v>98</v>
      </c>
      <c r="AP40" s="84"/>
      <c r="AQ40" s="84"/>
      <c r="AR40" s="85"/>
      <c r="AS40" s="83"/>
      <c r="AT40" s="84"/>
      <c r="AU40" s="84"/>
      <c r="AV40" s="84"/>
      <c r="AW40" s="84"/>
      <c r="AX40" s="85"/>
      <c r="AY40" s="83" t="s">
        <v>99</v>
      </c>
      <c r="AZ40" s="84"/>
      <c r="BA40" s="84"/>
      <c r="BB40" s="84"/>
      <c r="BC40" s="84"/>
      <c r="BD40" s="85"/>
      <c r="BE40" s="83" t="s">
        <v>100</v>
      </c>
      <c r="BF40" s="84"/>
      <c r="BG40" s="84"/>
      <c r="BH40" s="84"/>
      <c r="BI40" s="84"/>
      <c r="BJ40" s="84"/>
      <c r="BK40" s="84"/>
      <c r="BL40" s="85"/>
      <c r="BM40"/>
      <c r="BN40"/>
    </row>
    <row r="41" spans="1:79" ht="13.5" customHeight="1" x14ac:dyDescent="0.3">
      <c r="BM41" s="40"/>
      <c r="BN41" s="40"/>
    </row>
    <row r="42" spans="1:79" ht="26.1" customHeight="1" x14ac:dyDescent="0.3">
      <c r="B42" s="45" t="s">
        <v>101</v>
      </c>
      <c r="C42" s="82">
        <v>45847</v>
      </c>
      <c r="D42" s="82"/>
      <c r="E42" s="82"/>
      <c r="F42" s="82"/>
      <c r="G42" s="82"/>
      <c r="H42" s="82"/>
      <c r="I42" s="82"/>
      <c r="J42" s="82"/>
      <c r="K42" s="82">
        <v>45815</v>
      </c>
      <c r="L42" s="82"/>
      <c r="M42" s="82"/>
      <c r="N42" s="82"/>
      <c r="O42" s="82"/>
      <c r="P42" s="82"/>
      <c r="Q42" s="82"/>
      <c r="R42" s="82"/>
      <c r="S42" s="82">
        <v>45862</v>
      </c>
      <c r="T42" s="82"/>
      <c r="U42" s="82"/>
      <c r="V42" s="82"/>
      <c r="W42" s="82"/>
      <c r="X42" s="82"/>
      <c r="Y42" s="82"/>
      <c r="Z42" s="82"/>
      <c r="AA42" s="82"/>
      <c r="AB42" s="82"/>
      <c r="AC42" s="82">
        <v>45850</v>
      </c>
      <c r="AD42" s="82"/>
      <c r="AE42" s="82"/>
      <c r="AF42" s="82"/>
      <c r="AG42" s="82"/>
      <c r="AH42" s="82"/>
      <c r="AI42" s="82">
        <v>45842</v>
      </c>
      <c r="AJ42" s="82"/>
      <c r="AK42" s="82"/>
      <c r="AL42" s="82"/>
      <c r="AM42" s="82"/>
      <c r="AN42" s="82"/>
      <c r="AO42" s="82">
        <v>45835</v>
      </c>
      <c r="AP42" s="82"/>
      <c r="AQ42" s="82"/>
      <c r="AR42" s="82"/>
      <c r="AS42" s="82">
        <v>45827</v>
      </c>
      <c r="AT42" s="82"/>
      <c r="AU42" s="82"/>
      <c r="AV42" s="82"/>
      <c r="AW42" s="82"/>
      <c r="AX42" s="82"/>
      <c r="AY42" s="82">
        <v>45835</v>
      </c>
      <c r="AZ42" s="82"/>
      <c r="BA42" s="82"/>
      <c r="BB42" s="82"/>
      <c r="BC42" s="82"/>
      <c r="BD42" s="82"/>
      <c r="BE42" s="82">
        <v>45859</v>
      </c>
      <c r="BF42" s="82"/>
      <c r="BG42" s="82"/>
      <c r="BH42" s="82"/>
      <c r="BI42" s="82"/>
      <c r="BJ42" s="82"/>
      <c r="BK42" s="82"/>
      <c r="BL42" s="82"/>
      <c r="BM42"/>
      <c r="BN42" s="2"/>
      <c r="BP42"/>
    </row>
    <row r="43" spans="1:79" s="46" customFormat="1" x14ac:dyDescent="0.3">
      <c r="B43" s="47"/>
      <c r="C43" s="53" t="s">
        <v>102</v>
      </c>
      <c r="D43" s="53"/>
      <c r="E43" s="53"/>
      <c r="F43" s="53"/>
      <c r="G43" s="53"/>
      <c r="H43" s="53"/>
      <c r="I43" s="53"/>
      <c r="J43" s="53"/>
      <c r="BM43" s="48"/>
      <c r="BN43" s="48"/>
    </row>
    <row r="44" spans="1:79" s="46" customFormat="1" ht="17.25" x14ac:dyDescent="0.3">
      <c r="A44" s="47" t="s">
        <v>103</v>
      </c>
      <c r="B44" s="49" t="s">
        <v>103</v>
      </c>
      <c r="C44" s="73" t="s">
        <v>104</v>
      </c>
      <c r="D44" s="74"/>
      <c r="E44" s="74"/>
      <c r="F44" s="74"/>
      <c r="G44" s="74"/>
      <c r="H44" s="74"/>
      <c r="I44" s="74"/>
      <c r="J44" s="75"/>
      <c r="K44" s="76"/>
      <c r="L44" s="77"/>
      <c r="M44" s="77"/>
      <c r="N44" s="77"/>
      <c r="O44" s="77"/>
      <c r="P44" s="77"/>
      <c r="Q44" s="77"/>
      <c r="R44" s="78"/>
      <c r="S44" s="67"/>
      <c r="T44" s="68"/>
      <c r="U44" s="68"/>
      <c r="V44" s="68"/>
      <c r="W44" s="68"/>
      <c r="X44" s="68"/>
      <c r="Y44" s="68"/>
      <c r="Z44" s="68"/>
      <c r="AA44" s="68"/>
      <c r="AB44" s="69"/>
      <c r="AC44" s="79" t="s">
        <v>105</v>
      </c>
      <c r="AD44" s="80"/>
      <c r="AE44" s="80"/>
      <c r="AF44" s="80"/>
      <c r="AG44" s="80"/>
      <c r="AH44" s="81"/>
      <c r="AI44" s="67"/>
      <c r="AJ44" s="68"/>
      <c r="AK44" s="68"/>
      <c r="AL44" s="68"/>
      <c r="AM44" s="68"/>
      <c r="AN44" s="69"/>
      <c r="AO44" s="67"/>
      <c r="AP44" s="68"/>
      <c r="AQ44" s="68"/>
      <c r="AR44" s="69"/>
      <c r="AS44" s="67"/>
      <c r="AT44" s="68"/>
      <c r="AU44" s="68"/>
      <c r="AV44" s="68"/>
      <c r="AW44" s="68"/>
      <c r="AX44" s="69"/>
      <c r="AY44" s="67"/>
      <c r="AZ44" s="68"/>
      <c r="BA44" s="68"/>
      <c r="BB44" s="68"/>
      <c r="BC44" s="68"/>
      <c r="BD44" s="69"/>
      <c r="BE44" s="67"/>
      <c r="BF44" s="68"/>
      <c r="BG44" s="68"/>
      <c r="BH44" s="68"/>
      <c r="BI44" s="68"/>
      <c r="BJ44" s="68"/>
      <c r="BK44" s="68"/>
      <c r="BL44" s="69"/>
      <c r="BM44" s="48"/>
      <c r="BN44" s="48"/>
    </row>
    <row r="45" spans="1:79" s="46" customFormat="1" x14ac:dyDescent="0.3">
      <c r="A45" s="47" t="s">
        <v>106</v>
      </c>
      <c r="B45" s="50" t="s">
        <v>106</v>
      </c>
      <c r="C45" s="55"/>
      <c r="D45" s="56"/>
      <c r="E45" s="56"/>
      <c r="F45" s="56"/>
      <c r="G45" s="56"/>
      <c r="H45" s="56"/>
      <c r="I45" s="56"/>
      <c r="J45" s="57"/>
      <c r="K45" s="70" t="s">
        <v>104</v>
      </c>
      <c r="L45" s="71"/>
      <c r="M45" s="71"/>
      <c r="N45" s="71"/>
      <c r="O45" s="71"/>
      <c r="P45" s="71"/>
      <c r="Q45" s="71"/>
      <c r="R45" s="72"/>
      <c r="S45" s="55"/>
      <c r="T45" s="56"/>
      <c r="U45" s="56"/>
      <c r="V45" s="56"/>
      <c r="W45" s="56"/>
      <c r="X45" s="56"/>
      <c r="Y45" s="56"/>
      <c r="Z45" s="56"/>
      <c r="AA45" s="56"/>
      <c r="AB45" s="57"/>
      <c r="AC45" s="55"/>
      <c r="AD45" s="56"/>
      <c r="AE45" s="56"/>
      <c r="AF45" s="56"/>
      <c r="AG45" s="56"/>
      <c r="AH45" s="57"/>
      <c r="AI45" s="70" t="s">
        <v>105</v>
      </c>
      <c r="AJ45" s="71"/>
      <c r="AK45" s="71"/>
      <c r="AL45" s="71"/>
      <c r="AM45" s="71"/>
      <c r="AN45" s="72"/>
      <c r="AO45" s="55"/>
      <c r="AP45" s="56"/>
      <c r="AQ45" s="56"/>
      <c r="AR45" s="57"/>
      <c r="AS45" s="55"/>
      <c r="AT45" s="56"/>
      <c r="AU45" s="56"/>
      <c r="AV45" s="56"/>
      <c r="AW45" s="56"/>
      <c r="AX45" s="57"/>
      <c r="AY45" s="55"/>
      <c r="AZ45" s="56"/>
      <c r="BA45" s="56"/>
      <c r="BB45" s="56"/>
      <c r="BC45" s="56"/>
      <c r="BD45" s="57"/>
      <c r="BE45" s="55"/>
      <c r="BF45" s="56"/>
      <c r="BG45" s="56"/>
      <c r="BH45" s="56"/>
      <c r="BI45" s="56"/>
      <c r="BJ45" s="56"/>
      <c r="BK45" s="56"/>
      <c r="BL45" s="57"/>
      <c r="BM45" s="48"/>
      <c r="BN45" s="48"/>
    </row>
    <row r="46" spans="1:79" s="46" customFormat="1" x14ac:dyDescent="0.3">
      <c r="A46" s="47" t="s">
        <v>107</v>
      </c>
      <c r="B46" s="50" t="s">
        <v>107</v>
      </c>
      <c r="C46" s="55"/>
      <c r="D46" s="56"/>
      <c r="E46" s="56"/>
      <c r="F46" s="56"/>
      <c r="G46" s="56"/>
      <c r="H46" s="56"/>
      <c r="I46" s="56"/>
      <c r="J46" s="57"/>
      <c r="K46" s="55"/>
      <c r="L46" s="56"/>
      <c r="M46" s="56"/>
      <c r="N46" s="56"/>
      <c r="O46" s="56"/>
      <c r="P46" s="56"/>
      <c r="Q46" s="56"/>
      <c r="R46" s="57"/>
      <c r="S46" s="64" t="s">
        <v>108</v>
      </c>
      <c r="T46" s="65"/>
      <c r="U46" s="65"/>
      <c r="V46" s="65"/>
      <c r="W46" s="65"/>
      <c r="X46" s="65"/>
      <c r="Y46" s="65"/>
      <c r="Z46" s="65"/>
      <c r="AA46" s="65"/>
      <c r="AB46" s="66"/>
      <c r="AC46" s="55"/>
      <c r="AD46" s="56"/>
      <c r="AE46" s="56"/>
      <c r="AF46" s="56"/>
      <c r="AG46" s="56"/>
      <c r="AH46" s="57"/>
      <c r="AI46" s="55"/>
      <c r="AJ46" s="56"/>
      <c r="AK46" s="56"/>
      <c r="AL46" s="56"/>
      <c r="AM46" s="56"/>
      <c r="AN46" s="57"/>
      <c r="AO46" s="55"/>
      <c r="AP46" s="56"/>
      <c r="AQ46" s="56"/>
      <c r="AR46" s="57"/>
      <c r="AS46" s="55"/>
      <c r="AT46" s="56"/>
      <c r="AU46" s="56"/>
      <c r="AV46" s="56"/>
      <c r="AW46" s="56"/>
      <c r="AX46" s="57"/>
      <c r="AY46" s="55"/>
      <c r="AZ46" s="56"/>
      <c r="BA46" s="56"/>
      <c r="BB46" s="56"/>
      <c r="BC46" s="56"/>
      <c r="BD46" s="57"/>
      <c r="BE46" s="55"/>
      <c r="BF46" s="56"/>
      <c r="BG46" s="56"/>
      <c r="BH46" s="56"/>
      <c r="BI46" s="56"/>
      <c r="BJ46" s="56"/>
      <c r="BK46" s="56"/>
      <c r="BL46" s="57"/>
      <c r="BM46" s="48"/>
      <c r="BN46" s="48"/>
    </row>
    <row r="47" spans="1:79" s="46" customFormat="1" x14ac:dyDescent="0.3">
      <c r="A47" s="47" t="s">
        <v>109</v>
      </c>
      <c r="B47" s="50" t="s">
        <v>109</v>
      </c>
      <c r="C47" s="55"/>
      <c r="D47" s="56"/>
      <c r="E47" s="56"/>
      <c r="F47" s="56"/>
      <c r="G47" s="56"/>
      <c r="H47" s="56"/>
      <c r="I47" s="56"/>
      <c r="J47" s="57"/>
      <c r="K47" s="55"/>
      <c r="L47" s="56"/>
      <c r="M47" s="56"/>
      <c r="N47" s="56"/>
      <c r="O47" s="56"/>
      <c r="P47" s="56"/>
      <c r="Q47" s="56"/>
      <c r="R47" s="57"/>
      <c r="S47" s="55"/>
      <c r="T47" s="56"/>
      <c r="U47" s="56"/>
      <c r="V47" s="56"/>
      <c r="W47" s="56"/>
      <c r="X47" s="56"/>
      <c r="Y47" s="56"/>
      <c r="Z47" s="56"/>
      <c r="AA47" s="56"/>
      <c r="AB47" s="57"/>
      <c r="AC47" s="55"/>
      <c r="AD47" s="56"/>
      <c r="AE47" s="56"/>
      <c r="AF47" s="56"/>
      <c r="AG47" s="56"/>
      <c r="AH47" s="57"/>
      <c r="AI47" s="55"/>
      <c r="AJ47" s="56"/>
      <c r="AK47" s="56"/>
      <c r="AL47" s="56"/>
      <c r="AM47" s="56"/>
      <c r="AN47" s="57"/>
      <c r="AO47" s="58" t="s">
        <v>110</v>
      </c>
      <c r="AP47" s="59"/>
      <c r="AQ47" s="59"/>
      <c r="AR47" s="60"/>
      <c r="AS47" s="55"/>
      <c r="AT47" s="56"/>
      <c r="AU47" s="56"/>
      <c r="AV47" s="56"/>
      <c r="AW47" s="56"/>
      <c r="AX47" s="57"/>
      <c r="AY47" s="55"/>
      <c r="AZ47" s="56"/>
      <c r="BA47" s="56"/>
      <c r="BB47" s="56"/>
      <c r="BC47" s="56"/>
      <c r="BD47" s="57"/>
      <c r="BE47" s="58" t="s">
        <v>111</v>
      </c>
      <c r="BF47" s="59"/>
      <c r="BG47" s="59"/>
      <c r="BH47" s="59"/>
      <c r="BI47" s="59"/>
      <c r="BJ47" s="59"/>
      <c r="BK47" s="59"/>
      <c r="BL47" s="60"/>
      <c r="BM47" s="48"/>
      <c r="BN47" s="48"/>
    </row>
    <row r="48" spans="1:79" s="46" customFormat="1" x14ac:dyDescent="0.3">
      <c r="A48" s="47" t="s">
        <v>112</v>
      </c>
      <c r="B48" s="51" t="s">
        <v>112</v>
      </c>
      <c r="C48" s="52"/>
      <c r="D48" s="53"/>
      <c r="E48" s="53"/>
      <c r="F48" s="53"/>
      <c r="G48" s="53"/>
      <c r="H48" s="53"/>
      <c r="I48" s="53"/>
      <c r="J48" s="54"/>
      <c r="K48" s="52"/>
      <c r="L48" s="53"/>
      <c r="M48" s="53"/>
      <c r="N48" s="53"/>
      <c r="O48" s="53"/>
      <c r="P48" s="53"/>
      <c r="Q48" s="53"/>
      <c r="R48" s="54"/>
      <c r="S48" s="52"/>
      <c r="T48" s="53"/>
      <c r="U48" s="53"/>
      <c r="V48" s="53"/>
      <c r="W48" s="53"/>
      <c r="X48" s="53"/>
      <c r="Y48" s="53"/>
      <c r="Z48" s="53"/>
      <c r="AA48" s="53"/>
      <c r="AB48" s="54"/>
      <c r="AC48" s="52"/>
      <c r="AD48" s="53"/>
      <c r="AE48" s="53"/>
      <c r="AF48" s="53"/>
      <c r="AG48" s="53"/>
      <c r="AH48" s="54"/>
      <c r="AI48" s="52"/>
      <c r="AJ48" s="53"/>
      <c r="AK48" s="53"/>
      <c r="AL48" s="53"/>
      <c r="AM48" s="53"/>
      <c r="AN48" s="54"/>
      <c r="AO48" s="52"/>
      <c r="AP48" s="53"/>
      <c r="AQ48" s="53"/>
      <c r="AR48" s="54"/>
      <c r="AS48" s="61" t="s">
        <v>105</v>
      </c>
      <c r="AT48" s="62"/>
      <c r="AU48" s="62"/>
      <c r="AV48" s="62"/>
      <c r="AW48" s="62"/>
      <c r="AX48" s="63"/>
      <c r="AY48" s="61" t="s">
        <v>105</v>
      </c>
      <c r="AZ48" s="62"/>
      <c r="BA48" s="62"/>
      <c r="BB48" s="62"/>
      <c r="BC48" s="62"/>
      <c r="BD48" s="63"/>
      <c r="BE48" s="52"/>
      <c r="BF48" s="53"/>
      <c r="BG48" s="53"/>
      <c r="BH48" s="53"/>
      <c r="BI48" s="53"/>
      <c r="BJ48" s="53"/>
      <c r="BK48" s="53"/>
      <c r="BL48" s="54"/>
      <c r="BM48" s="48"/>
      <c r="BN48" s="48"/>
    </row>
    <row r="49" spans="2:66" s="46" customFormat="1" x14ac:dyDescent="0.3">
      <c r="B49" s="47"/>
      <c r="BM49" s="48"/>
      <c r="BN49" s="48"/>
    </row>
    <row r="50" spans="2:66" s="46" customFormat="1" x14ac:dyDescent="0.3">
      <c r="B50" s="47"/>
      <c r="BM50" s="48"/>
      <c r="BN50" s="48"/>
    </row>
    <row r="51" spans="2:66" s="46" customFormat="1" x14ac:dyDescent="0.3">
      <c r="B51" s="47"/>
      <c r="BM51" s="48"/>
      <c r="BN51" s="48"/>
    </row>
  </sheetData>
  <mergeCells count="166">
    <mergeCell ref="BP8:BP10"/>
    <mergeCell ref="BQ8:BQ10"/>
    <mergeCell ref="G10:J10"/>
    <mergeCell ref="W10:AB10"/>
    <mergeCell ref="AC10:AH10"/>
    <mergeCell ref="AI10:AN10"/>
    <mergeCell ref="AS10:AV10"/>
    <mergeCell ref="B2:U2"/>
    <mergeCell ref="BP4:BQ4"/>
    <mergeCell ref="K5:N5"/>
    <mergeCell ref="O5:R5"/>
    <mergeCell ref="BI5:BL5"/>
    <mergeCell ref="BP5:BP7"/>
    <mergeCell ref="BQ5:BQ7"/>
    <mergeCell ref="K6:N6"/>
    <mergeCell ref="O6:R6"/>
    <mergeCell ref="BI6:BL6"/>
    <mergeCell ref="BQ11:BQ13"/>
    <mergeCell ref="S12:V12"/>
    <mergeCell ref="AY12:BB12"/>
    <mergeCell ref="C13:F13"/>
    <mergeCell ref="S13:V13"/>
    <mergeCell ref="AY13:BB13"/>
    <mergeCell ref="G11:J11"/>
    <mergeCell ref="W11:AB11"/>
    <mergeCell ref="AC11:AH11"/>
    <mergeCell ref="AI11:AN11"/>
    <mergeCell ref="AS11:AV11"/>
    <mergeCell ref="BP11:BP13"/>
    <mergeCell ref="BP17:BP19"/>
    <mergeCell ref="BQ17:BQ19"/>
    <mergeCell ref="BP20:BP22"/>
    <mergeCell ref="BQ20:BQ22"/>
    <mergeCell ref="BT20:BV20"/>
    <mergeCell ref="BO27:BP27"/>
    <mergeCell ref="BQ27:BV27"/>
    <mergeCell ref="C14:F14"/>
    <mergeCell ref="AO14:AR14"/>
    <mergeCell ref="BP14:BP16"/>
    <mergeCell ref="BQ14:BQ16"/>
    <mergeCell ref="AO15:AR15"/>
    <mergeCell ref="BE15:BH15"/>
    <mergeCell ref="BE16:BH16"/>
    <mergeCell ref="O36:P36"/>
    <mergeCell ref="Q36:R36"/>
    <mergeCell ref="S36:T36"/>
    <mergeCell ref="U36:V36"/>
    <mergeCell ref="W36:X36"/>
    <mergeCell ref="Y36:Z36"/>
    <mergeCell ref="C36:D36"/>
    <mergeCell ref="E36:F36"/>
    <mergeCell ref="G36:H36"/>
    <mergeCell ref="I36:J36"/>
    <mergeCell ref="K36:L36"/>
    <mergeCell ref="M36:N36"/>
    <mergeCell ref="AQ36:AR36"/>
    <mergeCell ref="AS36:AT36"/>
    <mergeCell ref="AU36:AV36"/>
    <mergeCell ref="AW36:AX36"/>
    <mergeCell ref="AA36:AB36"/>
    <mergeCell ref="AC36:AD36"/>
    <mergeCell ref="AE36:AF36"/>
    <mergeCell ref="AG36:AH36"/>
    <mergeCell ref="AI36:AJ36"/>
    <mergeCell ref="AK36:AL36"/>
    <mergeCell ref="B38:B40"/>
    <mergeCell ref="C38:J38"/>
    <mergeCell ref="K38:R38"/>
    <mergeCell ref="S38:AB38"/>
    <mergeCell ref="AC38:AH38"/>
    <mergeCell ref="AI38:AN38"/>
    <mergeCell ref="BK36:BL36"/>
    <mergeCell ref="C37:J37"/>
    <mergeCell ref="K37:R37"/>
    <mergeCell ref="S37:AB37"/>
    <mergeCell ref="AC37:AH37"/>
    <mergeCell ref="AI37:AN37"/>
    <mergeCell ref="AO37:AR37"/>
    <mergeCell ref="AS37:AX37"/>
    <mergeCell ref="AY37:BD37"/>
    <mergeCell ref="BE37:BL37"/>
    <mergeCell ref="AY36:AZ36"/>
    <mergeCell ref="BA36:BB36"/>
    <mergeCell ref="BC36:BD36"/>
    <mergeCell ref="BE36:BF36"/>
    <mergeCell ref="BG36:BH36"/>
    <mergeCell ref="BI36:BJ36"/>
    <mergeCell ref="AM36:AN36"/>
    <mergeCell ref="AO36:AP36"/>
    <mergeCell ref="AO38:AR38"/>
    <mergeCell ref="AS38:AX38"/>
    <mergeCell ref="AY38:BD38"/>
    <mergeCell ref="BE38:BL38"/>
    <mergeCell ref="C39:J39"/>
    <mergeCell ref="K39:R39"/>
    <mergeCell ref="S39:AB39"/>
    <mergeCell ref="AC39:AH39"/>
    <mergeCell ref="AI39:AN39"/>
    <mergeCell ref="AO39:AR39"/>
    <mergeCell ref="AS39:AX39"/>
    <mergeCell ref="AY39:BD39"/>
    <mergeCell ref="BE39:BL39"/>
    <mergeCell ref="C40:J40"/>
    <mergeCell ref="K40:R40"/>
    <mergeCell ref="S40:AB40"/>
    <mergeCell ref="AC40:AH40"/>
    <mergeCell ref="AI40:AN40"/>
    <mergeCell ref="AO40:AR40"/>
    <mergeCell ref="AS40:AX40"/>
    <mergeCell ref="AY40:BD40"/>
    <mergeCell ref="BE40:BL40"/>
    <mergeCell ref="C42:J42"/>
    <mergeCell ref="K42:R42"/>
    <mergeCell ref="S42:AB42"/>
    <mergeCell ref="AC42:AH42"/>
    <mergeCell ref="AI42:AN42"/>
    <mergeCell ref="AO42:AR42"/>
    <mergeCell ref="AS42:AX42"/>
    <mergeCell ref="AY42:BD42"/>
    <mergeCell ref="BE42:BL42"/>
    <mergeCell ref="C43:J43"/>
    <mergeCell ref="C44:J44"/>
    <mergeCell ref="K44:R44"/>
    <mergeCell ref="S44:AB44"/>
    <mergeCell ref="AC44:AH44"/>
    <mergeCell ref="AI44:AN44"/>
    <mergeCell ref="AO44:AR44"/>
    <mergeCell ref="AS44:AX44"/>
    <mergeCell ref="AY44:BD44"/>
    <mergeCell ref="BE44:BL44"/>
    <mergeCell ref="C45:J45"/>
    <mergeCell ref="K45:R45"/>
    <mergeCell ref="S45:AB45"/>
    <mergeCell ref="AC45:AH45"/>
    <mergeCell ref="AI45:AN45"/>
    <mergeCell ref="AO45:AR45"/>
    <mergeCell ref="AS45:AX45"/>
    <mergeCell ref="AY45:BD45"/>
    <mergeCell ref="BE45:BL45"/>
    <mergeCell ref="AS46:AX46"/>
    <mergeCell ref="AY46:BD46"/>
    <mergeCell ref="BE46:BL46"/>
    <mergeCell ref="C47:J47"/>
    <mergeCell ref="K47:R47"/>
    <mergeCell ref="S47:AB47"/>
    <mergeCell ref="AC47:AH47"/>
    <mergeCell ref="AI47:AN47"/>
    <mergeCell ref="AO47:AR47"/>
    <mergeCell ref="AS47:AX47"/>
    <mergeCell ref="C46:J46"/>
    <mergeCell ref="K46:R46"/>
    <mergeCell ref="S46:AB46"/>
    <mergeCell ref="AC46:AH46"/>
    <mergeCell ref="AI46:AN46"/>
    <mergeCell ref="AO46:AR46"/>
    <mergeCell ref="BE48:BL48"/>
    <mergeCell ref="AY47:BD47"/>
    <mergeCell ref="BE47:BL47"/>
    <mergeCell ref="C48:J48"/>
    <mergeCell ref="K48:R48"/>
    <mergeCell ref="S48:AB48"/>
    <mergeCell ref="AC48:AH48"/>
    <mergeCell ref="AI48:AN48"/>
    <mergeCell ref="AO48:AR48"/>
    <mergeCell ref="AS48:AX48"/>
    <mergeCell ref="AY48:BD48"/>
  </mergeCells>
  <phoneticPr fontId="2" type="noConversion"/>
  <printOptions horizontalCentered="1" verticalCentered="1"/>
  <pageMargins left="0.19685039370078741" right="0.19685039370078741" top="0.39370078740157483" bottom="0.39370078740157483" header="0" footer="0"/>
  <pageSetup paperSize="8" scale="8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청소일정표</vt:lpstr>
      <vt:lpstr>청소일정표!Print_Area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사냥 더위</dc:creator>
  <cp:lastModifiedBy>hyunyong ahn</cp:lastModifiedBy>
  <dcterms:created xsi:type="dcterms:W3CDTF">2026-05-06T13:10:20Z</dcterms:created>
  <dcterms:modified xsi:type="dcterms:W3CDTF">2026-05-31T00:05:38Z</dcterms:modified>
</cp:coreProperties>
</file>