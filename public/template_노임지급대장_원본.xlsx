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 현장\01 원주\01 관리\01 출력 원주무실\03 노임대장\노임대장 26년 07월 원주무실\"/>
    </mc:Choice>
  </mc:AlternateContent>
  <xr:revisionPtr revIDLastSave="0" documentId="13_ncr:1_{A592E2D5-2E06-4B10-9BB2-02E93778D4EE}" xr6:coauthVersionLast="47" xr6:coauthVersionMax="47" xr10:uidLastSave="{00000000-0000-0000-0000-000000000000}"/>
  <bookViews>
    <workbookView xWindow="28680" yWindow="-120" windowWidth="29040" windowHeight="15720" xr2:uid="{5B7D7315-9470-4E4C-87DC-D836189CE167}"/>
  </bookViews>
  <sheets>
    <sheet name="세대청소" sheetId="1" r:id="rId1"/>
  </sheets>
  <externalReferences>
    <externalReference r:id="rId2"/>
  </externalReferences>
  <definedNames>
    <definedName name="__IntlFixup">TRUE</definedName>
    <definedName name="_Order1">255</definedName>
    <definedName name="_Order2">255</definedName>
    <definedName name="_Regression_Int">1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_xlnm.Print_Area" localSheetId="0">세대청소!$A$1:$AM$50</definedName>
    <definedName name="_xlnm.Print_Titles" localSheetId="0">세대청소!$2:$6</definedName>
    <definedName name="원주인명부">[1]원주인명부!$A$3:$W$2980</definedName>
    <definedName name="출력">[1]출력!$A$1:$B$250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2" i="1" l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AJ52" i="1" s="1"/>
  <c r="AK49" i="1"/>
  <c r="AJ49" i="1"/>
  <c r="AL49" i="1" s="1"/>
  <c r="D49" i="1"/>
  <c r="C49" i="1"/>
  <c r="B49" i="1"/>
  <c r="AP48" i="1"/>
  <c r="AO48" i="1"/>
  <c r="AK48" i="1"/>
  <c r="X48" i="1"/>
  <c r="AJ48" i="1" s="1"/>
  <c r="AL48" i="1" s="1"/>
  <c r="D48" i="1"/>
  <c r="C48" i="1"/>
  <c r="B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P38" i="1"/>
  <c r="AO38" i="1"/>
  <c r="AK38" i="1"/>
  <c r="AJ38" i="1"/>
  <c r="AK37" i="1"/>
  <c r="AJ37" i="1"/>
  <c r="AP36" i="1"/>
  <c r="AO36" i="1"/>
  <c r="AK36" i="1"/>
  <c r="AJ36" i="1"/>
  <c r="AO35" i="1"/>
  <c r="AK35" i="1"/>
  <c r="AJ35" i="1"/>
  <c r="AP34" i="1"/>
  <c r="AO34" i="1"/>
  <c r="AK34" i="1"/>
  <c r="AJ34" i="1"/>
  <c r="AP33" i="1"/>
  <c r="AO33" i="1"/>
  <c r="AK33" i="1"/>
  <c r="AJ33" i="1"/>
  <c r="AP32" i="1"/>
  <c r="AO32" i="1"/>
  <c r="AK32" i="1"/>
  <c r="AJ32" i="1"/>
  <c r="AP31" i="1"/>
  <c r="AO31" i="1"/>
  <c r="AK31" i="1"/>
  <c r="AJ31" i="1"/>
  <c r="AK30" i="1"/>
  <c r="AJ30" i="1"/>
  <c r="AP29" i="1"/>
  <c r="AO29" i="1"/>
  <c r="AK29" i="1"/>
  <c r="AJ29" i="1"/>
  <c r="AK28" i="1"/>
  <c r="AJ28" i="1"/>
  <c r="AP27" i="1"/>
  <c r="AO27" i="1"/>
  <c r="AK27" i="1"/>
  <c r="AJ27" i="1"/>
  <c r="AK26" i="1"/>
  <c r="AJ26" i="1"/>
  <c r="AP25" i="1"/>
  <c r="AO25" i="1"/>
  <c r="AK25" i="1"/>
  <c r="AJ25" i="1"/>
  <c r="AP24" i="1"/>
  <c r="AO24" i="1"/>
  <c r="AK24" i="1"/>
  <c r="AJ24" i="1"/>
  <c r="AP23" i="1"/>
  <c r="AO23" i="1"/>
  <c r="AK23" i="1"/>
  <c r="AJ23" i="1"/>
  <c r="AP22" i="1"/>
  <c r="AO22" i="1"/>
  <c r="AK22" i="1"/>
  <c r="AJ22" i="1"/>
  <c r="AP21" i="1"/>
  <c r="AO21" i="1"/>
  <c r="AK21" i="1"/>
  <c r="AJ21" i="1"/>
  <c r="AP20" i="1"/>
  <c r="AO20" i="1"/>
  <c r="AK20" i="1"/>
  <c r="AJ20" i="1"/>
  <c r="AK19" i="1"/>
  <c r="AJ19" i="1"/>
  <c r="AP18" i="1"/>
  <c r="AO18" i="1"/>
  <c r="AK18" i="1"/>
  <c r="AJ18" i="1"/>
  <c r="AK17" i="1"/>
  <c r="AJ17" i="1"/>
  <c r="AK16" i="1"/>
  <c r="AJ16" i="1"/>
  <c r="AK15" i="1"/>
  <c r="AJ15" i="1"/>
  <c r="AL15" i="1" s="1"/>
  <c r="AP14" i="1"/>
  <c r="AO14" i="1"/>
  <c r="AK14" i="1"/>
  <c r="AJ14" i="1"/>
  <c r="AK13" i="1"/>
  <c r="AJ13" i="1"/>
  <c r="AK12" i="1"/>
  <c r="AJ12" i="1"/>
  <c r="AK11" i="1"/>
  <c r="AJ11" i="1"/>
  <c r="AP10" i="1"/>
  <c r="AO10" i="1"/>
  <c r="AK10" i="1"/>
  <c r="AJ10" i="1"/>
  <c r="AK9" i="1"/>
  <c r="AJ9" i="1"/>
  <c r="AK8" i="1"/>
  <c r="AG8" i="1"/>
  <c r="AD8" i="1"/>
  <c r="W8" i="1"/>
  <c r="P8" i="1"/>
  <c r="I8" i="1"/>
  <c r="AK7" i="1"/>
  <c r="AI7" i="1"/>
  <c r="AI50" i="1" s="1"/>
  <c r="AH7" i="1"/>
  <c r="AH50" i="1" s="1"/>
  <c r="AG7" i="1"/>
  <c r="AF7" i="1"/>
  <c r="AF50" i="1" s="1"/>
  <c r="AE7" i="1"/>
  <c r="AE50" i="1" s="1"/>
  <c r="AD7" i="1"/>
  <c r="AC7" i="1"/>
  <c r="AC50" i="1" s="1"/>
  <c r="AB7" i="1"/>
  <c r="AB50" i="1" s="1"/>
  <c r="AA7" i="1"/>
  <c r="AA50" i="1" s="1"/>
  <c r="Z7" i="1"/>
  <c r="Z50" i="1" s="1"/>
  <c r="Y7" i="1"/>
  <c r="Y50" i="1" s="1"/>
  <c r="X7" i="1"/>
  <c r="X50" i="1" s="1"/>
  <c r="W7" i="1"/>
  <c r="V7" i="1"/>
  <c r="V50" i="1" s="1"/>
  <c r="U7" i="1"/>
  <c r="U50" i="1" s="1"/>
  <c r="T7" i="1"/>
  <c r="T50" i="1" s="1"/>
  <c r="S7" i="1"/>
  <c r="S50" i="1" s="1"/>
  <c r="R7" i="1"/>
  <c r="R50" i="1" s="1"/>
  <c r="Q7" i="1"/>
  <c r="Q50" i="1" s="1"/>
  <c r="P7" i="1"/>
  <c r="O7" i="1"/>
  <c r="O50" i="1" s="1"/>
  <c r="N7" i="1"/>
  <c r="N50" i="1" s="1"/>
  <c r="M7" i="1"/>
  <c r="M50" i="1" s="1"/>
  <c r="L7" i="1"/>
  <c r="L50" i="1" s="1"/>
  <c r="K7" i="1"/>
  <c r="K50" i="1" s="1"/>
  <c r="J7" i="1"/>
  <c r="J50" i="1" s="1"/>
  <c r="I7" i="1"/>
  <c r="H7" i="1"/>
  <c r="H50" i="1" s="1"/>
  <c r="G7" i="1"/>
  <c r="G50" i="1" s="1"/>
  <c r="F7" i="1"/>
  <c r="F50" i="1" s="1"/>
  <c r="E7" i="1"/>
  <c r="D7" i="1"/>
  <c r="C7" i="1"/>
  <c r="B7" i="1"/>
  <c r="AL2" i="1"/>
  <c r="AL42" i="1" l="1"/>
  <c r="AL30" i="1"/>
  <c r="AL40" i="1"/>
  <c r="AL18" i="1"/>
  <c r="AL17" i="1"/>
  <c r="AL31" i="1"/>
  <c r="AL28" i="1"/>
  <c r="AL23" i="1"/>
  <c r="AL44" i="1"/>
  <c r="AL41" i="1"/>
  <c r="AL26" i="1"/>
  <c r="AL33" i="1"/>
  <c r="AL14" i="1"/>
  <c r="AL9" i="1"/>
  <c r="AL43" i="1"/>
  <c r="AL12" i="1"/>
  <c r="AG50" i="1"/>
  <c r="AL35" i="1"/>
  <c r="AL10" i="1"/>
  <c r="AL47" i="1"/>
  <c r="AL46" i="1"/>
  <c r="AL39" i="1"/>
  <c r="AL38" i="1"/>
  <c r="AL27" i="1"/>
  <c r="AL32" i="1"/>
  <c r="AL45" i="1"/>
  <c r="AL29" i="1"/>
  <c r="AL36" i="1"/>
  <c r="AL34" i="1"/>
  <c r="AL24" i="1"/>
  <c r="AL22" i="1"/>
  <c r="AL20" i="1"/>
  <c r="AL19" i="1"/>
  <c r="AL37" i="1"/>
  <c r="AL25" i="1"/>
  <c r="AL11" i="1"/>
  <c r="AL21" i="1"/>
  <c r="AL13" i="1"/>
  <c r="AL16" i="1"/>
  <c r="W50" i="1"/>
  <c r="AJ8" i="1"/>
  <c r="AL8" i="1" s="1"/>
  <c r="AD50" i="1"/>
  <c r="I50" i="1"/>
  <c r="P50" i="1"/>
  <c r="E50" i="1"/>
  <c r="AJ7" i="1"/>
  <c r="AL52" i="1" l="1"/>
  <c r="AL7" i="1"/>
  <c r="AL50" i="1" s="1"/>
  <c r="AJ50" i="1"/>
</calcChain>
</file>

<file path=xl/sharedStrings.xml><?xml version="1.0" encoding="utf-8"?>
<sst xmlns="http://schemas.openxmlformats.org/spreadsheetml/2006/main" count="269" uniqueCount="149">
  <si>
    <t>회사명</t>
    <phoneticPr fontId="7" type="noConversion"/>
  </si>
  <si>
    <t>(주)우민이엔지</t>
    <phoneticPr fontId="7" type="noConversion"/>
  </si>
  <si>
    <t>현장명</t>
    <phoneticPr fontId="7" type="noConversion"/>
  </si>
  <si>
    <t>성   명</t>
    <phoneticPr fontId="16" type="noConversion"/>
  </si>
  <si>
    <t>주민번호</t>
    <phoneticPr fontId="17" type="noConversion"/>
  </si>
  <si>
    <t>주소</t>
    <phoneticPr fontId="17" type="noConversion"/>
  </si>
  <si>
    <t>출근</t>
    <phoneticPr fontId="17" type="noConversion"/>
  </si>
  <si>
    <t>단가</t>
    <phoneticPr fontId="17" type="noConversion"/>
  </si>
  <si>
    <t>금   액</t>
    <phoneticPr fontId="17" type="noConversion"/>
  </si>
  <si>
    <t>영수인</t>
    <phoneticPr fontId="17" type="noConversion"/>
  </si>
  <si>
    <t>본명</t>
    <phoneticPr fontId="17" type="noConversion"/>
  </si>
  <si>
    <r>
      <t>IF(ISERROR(IF(A7="","",VLOOKUP(A7,</t>
    </r>
    <r>
      <rPr>
        <sz val="8"/>
        <color theme="1"/>
        <rFont val="맑은 고딕"/>
        <family val="3"/>
        <charset val="129"/>
      </rPr>
      <t>출력</t>
    </r>
    <r>
      <rPr>
        <sz val="8"/>
        <color theme="1"/>
        <rFont val="Arial Narrow"/>
        <family val="2"/>
      </rPr>
      <t>,2,FALSE))),"",IF(A7="","",VLOOKUP(A7,</t>
    </r>
    <r>
      <rPr>
        <sz val="8"/>
        <color theme="1"/>
        <rFont val="맑은 고딕"/>
        <family val="3"/>
        <charset val="129"/>
      </rPr>
      <t>출력</t>
    </r>
    <r>
      <rPr>
        <sz val="8"/>
        <color theme="1"/>
        <rFont val="Arial Narrow"/>
        <family val="2"/>
      </rPr>
      <t>,2,FALSE)))</t>
    </r>
    <phoneticPr fontId="21" type="noConversion"/>
  </si>
  <si>
    <t>(외국인)</t>
    <phoneticPr fontId="17" type="noConversion"/>
  </si>
  <si>
    <t>금</t>
  </si>
  <si>
    <t>토</t>
  </si>
  <si>
    <t>월</t>
  </si>
  <si>
    <t>화</t>
  </si>
  <si>
    <t>수</t>
  </si>
  <si>
    <t>목</t>
  </si>
  <si>
    <t/>
  </si>
  <si>
    <t>안현용</t>
  </si>
  <si>
    <t>최혜순</t>
  </si>
  <si>
    <t>신용식</t>
    <phoneticPr fontId="21" type="noConversion"/>
  </si>
  <si>
    <t>김성백65</t>
    <phoneticPr fontId="21" type="noConversion"/>
  </si>
  <si>
    <t>김대성</t>
    <phoneticPr fontId="21" type="noConversion"/>
  </si>
  <si>
    <t>서정호</t>
    <phoneticPr fontId="21" type="noConversion"/>
  </si>
  <si>
    <t>동반티오</t>
    <phoneticPr fontId="21" type="noConversion"/>
  </si>
  <si>
    <t>반하</t>
    <phoneticPr fontId="21" type="noConversion"/>
  </si>
  <si>
    <t>무안</t>
    <phoneticPr fontId="21" type="noConversion"/>
  </si>
  <si>
    <t>카몰이딘</t>
    <phoneticPr fontId="21" type="noConversion"/>
  </si>
  <si>
    <t>자로니</t>
    <phoneticPr fontId="21" type="noConversion"/>
  </si>
  <si>
    <t>보부르</t>
    <phoneticPr fontId="21" type="noConversion"/>
  </si>
  <si>
    <t>라킴잔</t>
    <phoneticPr fontId="21" type="noConversion"/>
  </si>
  <si>
    <t>잠</t>
    <phoneticPr fontId="21" type="noConversion"/>
  </si>
  <si>
    <t>기안</t>
    <phoneticPr fontId="21" type="noConversion"/>
  </si>
  <si>
    <t>미사엘</t>
    <phoneticPr fontId="21" type="noConversion"/>
  </si>
  <si>
    <t>소딕</t>
    <phoneticPr fontId="21" type="noConversion"/>
  </si>
  <si>
    <t>나디</t>
    <phoneticPr fontId="21" type="noConversion"/>
  </si>
  <si>
    <t>아사</t>
    <phoneticPr fontId="21" type="noConversion"/>
  </si>
  <si>
    <t>사이드코심</t>
    <phoneticPr fontId="21" type="noConversion"/>
  </si>
  <si>
    <t>짠광휘</t>
    <phoneticPr fontId="21" type="noConversion"/>
  </si>
  <si>
    <t>나즈룰</t>
    <phoneticPr fontId="21" type="noConversion"/>
  </si>
  <si>
    <t>꾸엣</t>
    <phoneticPr fontId="21" type="noConversion"/>
  </si>
  <si>
    <t>마소</t>
    <phoneticPr fontId="21" type="noConversion"/>
  </si>
  <si>
    <t>오저드</t>
    <phoneticPr fontId="3" type="noConversion"/>
  </si>
  <si>
    <t>새</t>
    <phoneticPr fontId="21" type="noConversion"/>
  </si>
  <si>
    <t>홍</t>
    <phoneticPr fontId="21" type="noConversion"/>
  </si>
  <si>
    <t>고르네와</t>
    <phoneticPr fontId="21" type="noConversion"/>
  </si>
  <si>
    <t>아지스</t>
    <phoneticPr fontId="21" type="noConversion"/>
  </si>
  <si>
    <t>게르마</t>
    <phoneticPr fontId="21" type="noConversion"/>
  </si>
  <si>
    <t>이르판</t>
    <phoneticPr fontId="21" type="noConversion"/>
  </si>
  <si>
    <t>파르비스</t>
    <phoneticPr fontId="21" type="noConversion"/>
  </si>
  <si>
    <t>라마</t>
    <phoneticPr fontId="21" type="noConversion"/>
  </si>
  <si>
    <t>슈크라영</t>
    <phoneticPr fontId="21" type="noConversion"/>
  </si>
  <si>
    <t>팀</t>
    <phoneticPr fontId="21" type="noConversion"/>
  </si>
  <si>
    <t>안드레이</t>
    <phoneticPr fontId="21" type="noConversion"/>
  </si>
  <si>
    <t>자수르</t>
    <phoneticPr fontId="21" type="noConversion"/>
  </si>
  <si>
    <t>계</t>
    <phoneticPr fontId="16" type="noConversion"/>
  </si>
  <si>
    <t>합법출력</t>
    <phoneticPr fontId="7" type="noConversion"/>
  </si>
  <si>
    <t>김정환</t>
  </si>
  <si>
    <t>김창현</t>
  </si>
  <si>
    <t>양남석</t>
  </si>
  <si>
    <t>김세준</t>
  </si>
  <si>
    <t>유승현</t>
  </si>
  <si>
    <t>합법</t>
    <phoneticPr fontId="3" type="noConversion"/>
  </si>
  <si>
    <t>불법</t>
    <phoneticPr fontId="3" type="noConversion"/>
  </si>
  <si>
    <t>토</t>
    <phoneticPr fontId="7" type="noConversion"/>
  </si>
  <si>
    <t>일</t>
    <phoneticPr fontId="7" type="noConversion"/>
  </si>
  <si>
    <t>DONGVANTHAO</t>
  </si>
  <si>
    <t>801001-5</t>
  </si>
  <si>
    <t>원주시 원일로 172번지</t>
  </si>
  <si>
    <t>NGUYEN VAN HA</t>
  </si>
  <si>
    <t>650220-5</t>
  </si>
  <si>
    <t>BRAMUAN</t>
  </si>
  <si>
    <t>800628-5</t>
  </si>
  <si>
    <t>SHOKIR JONOV KAMOLIDDIN</t>
  </si>
  <si>
    <t>980107-5</t>
  </si>
  <si>
    <t>JAHRONI</t>
  </si>
  <si>
    <t>941216-5</t>
  </si>
  <si>
    <t>GOFUROV BOBURJON KHASAN UGLI</t>
  </si>
  <si>
    <t>910224-5</t>
  </si>
  <si>
    <t>MOMUNOV RAKHIMZHAN</t>
  </si>
  <si>
    <t>880112-5</t>
  </si>
  <si>
    <t>상지대길 75-14</t>
  </si>
  <si>
    <t>AMENORZAM BIN SAAD</t>
  </si>
  <si>
    <t>761021-5</t>
  </si>
  <si>
    <t>GIAN RAMANDA</t>
  </si>
  <si>
    <t>020531-5</t>
  </si>
  <si>
    <t>MISAEL BIN KISIL</t>
  </si>
  <si>
    <t>991203-5</t>
  </si>
  <si>
    <t>KODIROVMUKHAMMADSODIK MURODILOVICH</t>
  </si>
  <si>
    <t>050328-5</t>
  </si>
  <si>
    <t>NADI BIN JAMBIRAN</t>
  </si>
  <si>
    <t>880401-5</t>
  </si>
  <si>
    <t>원주시 원일로 172</t>
  </si>
  <si>
    <t>ASADBEK</t>
  </si>
  <si>
    <t>000608-5</t>
  </si>
  <si>
    <t>KOSIMOV SAIDKOSIM</t>
  </si>
  <si>
    <t>980320-5</t>
  </si>
  <si>
    <t>TRAN QUANG HUY</t>
  </si>
  <si>
    <t>010906-5</t>
  </si>
  <si>
    <t>북원로 2485번길</t>
  </si>
  <si>
    <t>MOHD NAZRUL BIN MD YUNUS</t>
  </si>
  <si>
    <t>920427-5</t>
  </si>
  <si>
    <t>DINH KHAC QUYET</t>
  </si>
  <si>
    <t>650205-5</t>
  </si>
  <si>
    <t>MUHAMMAD RIDHWANBINMASAUD</t>
  </si>
  <si>
    <t>900315-5</t>
  </si>
  <si>
    <t>강원 원주시</t>
  </si>
  <si>
    <t>ABDIYEV OZOD</t>
  </si>
  <si>
    <t>FA1019342</t>
  </si>
  <si>
    <t>PAITOON</t>
  </si>
  <si>
    <t>790213-5</t>
  </si>
  <si>
    <t>SOMSAART SUNTORN</t>
  </si>
  <si>
    <t>780628-5</t>
  </si>
  <si>
    <t>KURNIAWAN</t>
  </si>
  <si>
    <t>980221-5</t>
  </si>
  <si>
    <t>ABDUL AZIS NURSEHA</t>
  </si>
  <si>
    <t>971010-5</t>
  </si>
  <si>
    <t>FIRMANSYAH</t>
  </si>
  <si>
    <t>990902-5</t>
  </si>
  <si>
    <t>IRFANSYAH</t>
  </si>
  <si>
    <t>021215-5</t>
  </si>
  <si>
    <t>GANIEV PARVIZ</t>
  </si>
  <si>
    <t>000906-5</t>
  </si>
  <si>
    <t>원일로 172번지</t>
  </si>
  <si>
    <t>KADIROV YUSUFBEK</t>
  </si>
  <si>
    <t>910921-5</t>
  </si>
  <si>
    <t>MADAMINBEK UULU SHUKURALI</t>
  </si>
  <si>
    <t>980422-5</t>
  </si>
  <si>
    <t>SKORNIAKOV ANATOLII</t>
  </si>
  <si>
    <t>950513-5</t>
  </si>
  <si>
    <t>LITVINENKO ANDREI</t>
  </si>
  <si>
    <t>740129-5</t>
  </si>
  <si>
    <t>ERGASHOV ZHASURBEK</t>
  </si>
  <si>
    <t>060301-5</t>
  </si>
  <si>
    <t>720217-1683811</t>
  </si>
  <si>
    <t>경기 평택시 소사7로8, 114-1404</t>
  </si>
  <si>
    <t>710605-2226811</t>
  </si>
  <si>
    <t>경기 평택시 비전4로 175, 702-2203</t>
  </si>
  <si>
    <t>601123-1332730</t>
  </si>
  <si>
    <t>정선군 남면 지장천로76,7-402</t>
  </si>
  <si>
    <t>650228-1808940</t>
  </si>
  <si>
    <t>강원 원주 동진골1길 64</t>
  </si>
  <si>
    <t>661014-1067818</t>
  </si>
  <si>
    <t>원주시 중앙로14</t>
  </si>
  <si>
    <t>760521-1395111</t>
  </si>
  <si>
    <t>서울 광진구 뚝섬로22길 28</t>
  </si>
  <si>
    <t>26년 8월 노임 지급 대장 ( 우민이엔지 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</si>
</sst>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yyyy&quot;년&quot;mm&quot;월&quot;dd&quot;일&quot;"/>
    <numFmt numFmtId="177" formatCode="yyyy\ \ &quot;년&quot;\ \ \ \ mm\ \ &quot;월&quot;"/>
    <numFmt numFmtId="178" formatCode="dd"/>
    <numFmt numFmtId="179" formatCode="&quot;월&quot;"/>
    <numFmt numFmtId="180" formatCode="000000\-0000000"/>
    <numFmt numFmtId="181" formatCode="_-* #,##0.0_-;\-* #,##0.0_-;_-* &quot;-&quot;?_-;_-@_-"/>
    <numFmt numFmtId="182" formatCode="_-* #,##0_-;\-* #,##0_-;_-* &quot;-&quot;?_-;_-@_-"/>
    <numFmt numFmtId="183" formatCode="_(* #,##0_);_(* \(#,##0\);_(* &quot;-&quot;_);_(@_)"/>
    <numFmt numFmtId="184" formatCode="yy&quot;-&quot;mm&quot;-&quot;dd;@"/>
  </numFmts>
  <fonts count="33" x14ac:knownFonts="1"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24"/>
      <name val="휴먼옛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Arial Narrow"/>
      <family val="2"/>
    </font>
    <font>
      <sz val="11"/>
      <name val="굴림체"/>
      <family val="3"/>
      <charset val="129"/>
    </font>
    <font>
      <sz val="8"/>
      <name val="맑은 고딕"/>
      <family val="3"/>
      <charset val="129"/>
    </font>
    <font>
      <b/>
      <sz val="11"/>
      <name val="굴림체"/>
      <family val="3"/>
      <charset val="129"/>
    </font>
    <font>
      <b/>
      <sz val="10"/>
      <name val="굴림체"/>
      <family val="3"/>
      <charset val="129"/>
    </font>
    <font>
      <b/>
      <sz val="28"/>
      <name val="휴먼옛체"/>
      <family val="1"/>
      <charset val="129"/>
    </font>
    <font>
      <b/>
      <sz val="26"/>
      <name val="휴먼옛체"/>
      <family val="1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theme="8" tint="-0.249977111117893"/>
      <name val="굴림체"/>
      <family val="3"/>
      <charset val="129"/>
    </font>
    <font>
      <b/>
      <sz val="20"/>
      <name val="굴림체"/>
      <family val="3"/>
      <charset val="129"/>
    </font>
    <font>
      <sz val="18"/>
      <name val="돋움"/>
      <family val="3"/>
      <charset val="129"/>
    </font>
    <font>
      <sz val="8"/>
      <name val="굴림"/>
      <family val="3"/>
      <charset val="129"/>
    </font>
    <font>
      <b/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FF0000"/>
      <name val="굴림체"/>
      <family val="3"/>
      <charset val="129"/>
    </font>
    <font>
      <b/>
      <sz val="8"/>
      <name val="Arial Narrow"/>
      <family val="2"/>
    </font>
    <font>
      <sz val="8"/>
      <name val="Arial Narrow"/>
      <family val="2"/>
    </font>
    <font>
      <sz val="8"/>
      <name val="돋움"/>
      <family val="3"/>
      <charset val="129"/>
    </font>
    <font>
      <sz val="9"/>
      <color theme="1"/>
      <name val="Arial Narrow"/>
      <family val="2"/>
    </font>
    <font>
      <sz val="8"/>
      <color theme="1"/>
      <name val="맑은 고딕"/>
      <family val="3"/>
      <charset val="129"/>
      <scheme val="minor"/>
    </font>
    <font>
      <sz val="7"/>
      <name val="Arial Narrow"/>
      <family val="2"/>
    </font>
    <font>
      <b/>
      <sz val="10"/>
      <name val="Arial Narrow"/>
      <family val="2"/>
    </font>
    <font>
      <b/>
      <sz val="11"/>
      <name val="Arial Narrow"/>
      <family val="2"/>
    </font>
    <font>
      <b/>
      <sz val="8"/>
      <color theme="1"/>
      <name val="맑은 고딕"/>
      <family val="3"/>
      <charset val="129"/>
      <scheme val="minor"/>
    </font>
    <font>
      <b/>
      <sz val="6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0" fontId="5" fillId="0" borderId="0" xfId="0" applyFont="1">
      <alignment vertical="center"/>
    </xf>
    <xf numFmtId="38" fontId="8" fillId="0" borderId="0" xfId="2" applyNumberFormat="1" applyFont="1" applyAlignment="1">
      <alignment vertical="center"/>
    </xf>
    <xf numFmtId="38" fontId="9" fillId="0" borderId="0" xfId="2" applyNumberFormat="1" applyFont="1" applyAlignment="1">
      <alignment vertical="center"/>
    </xf>
    <xf numFmtId="38" fontId="10" fillId="0" borderId="0" xfId="2" quotePrefix="1" applyNumberFormat="1" applyFont="1" applyAlignment="1">
      <alignment vertical="center"/>
    </xf>
    <xf numFmtId="38" fontId="11" fillId="0" borderId="0" xfId="2" quotePrefix="1" applyNumberFormat="1" applyFont="1" applyAlignment="1">
      <alignment vertical="center"/>
    </xf>
    <xf numFmtId="38" fontId="12" fillId="0" borderId="0" xfId="2" applyNumberFormat="1" applyFont="1" applyAlignment="1">
      <alignment vertical="center"/>
    </xf>
    <xf numFmtId="0" fontId="9" fillId="0" borderId="0" xfId="0" applyFont="1">
      <alignment vertical="center"/>
    </xf>
    <xf numFmtId="0" fontId="14" fillId="0" borderId="0" xfId="0" applyFont="1">
      <alignment vertical="center"/>
    </xf>
    <xf numFmtId="38" fontId="11" fillId="0" borderId="6" xfId="2" quotePrefix="1" applyNumberFormat="1" applyFont="1" applyBorder="1" applyAlignment="1">
      <alignment vertical="center"/>
    </xf>
    <xf numFmtId="38" fontId="15" fillId="0" borderId="0" xfId="2" applyNumberFormat="1" applyFont="1" applyAlignment="1">
      <alignment horizontal="center" vertical="center"/>
    </xf>
    <xf numFmtId="38" fontId="9" fillId="0" borderId="6" xfId="2" applyNumberFormat="1" applyFont="1" applyBorder="1" applyAlignment="1">
      <alignment vertical="center"/>
    </xf>
    <xf numFmtId="38" fontId="9" fillId="0" borderId="1" xfId="2" applyNumberFormat="1" applyFont="1" applyBorder="1" applyAlignment="1">
      <alignment horizontal="center" vertical="center"/>
    </xf>
    <xf numFmtId="38" fontId="9" fillId="0" borderId="11" xfId="2" applyNumberFormat="1" applyFont="1" applyBorder="1" applyAlignment="1">
      <alignment horizontal="center" vertical="center"/>
    </xf>
    <xf numFmtId="178" fontId="18" fillId="0" borderId="13" xfId="2" applyNumberFormat="1" applyFont="1" applyBorder="1" applyAlignment="1">
      <alignment horizontal="center" vertical="center"/>
    </xf>
    <xf numFmtId="178" fontId="19" fillId="0" borderId="13" xfId="2" applyNumberFormat="1" applyFont="1" applyBorder="1" applyAlignment="1">
      <alignment horizontal="center" vertical="center"/>
    </xf>
    <xf numFmtId="38" fontId="9" fillId="0" borderId="4" xfId="2" applyNumberFormat="1" applyFont="1" applyBorder="1" applyAlignment="1">
      <alignment horizontal="center" vertical="center"/>
    </xf>
    <xf numFmtId="179" fontId="13" fillId="0" borderId="13" xfId="2" applyNumberFormat="1" applyFont="1" applyBorder="1" applyAlignment="1">
      <alignment horizontal="center" vertical="center"/>
    </xf>
    <xf numFmtId="179" fontId="22" fillId="0" borderId="13" xfId="2" applyNumberFormat="1" applyFont="1" applyBorder="1" applyAlignment="1">
      <alignment horizontal="center" vertical="center"/>
    </xf>
    <xf numFmtId="0" fontId="13" fillId="2" borderId="8" xfId="2" applyFont="1" applyFill="1" applyBorder="1" applyAlignment="1">
      <alignment horizontal="center" vertical="center" shrinkToFit="1"/>
    </xf>
    <xf numFmtId="41" fontId="23" fillId="0" borderId="8" xfId="1" applyFont="1" applyBorder="1">
      <alignment vertical="center"/>
    </xf>
    <xf numFmtId="180" fontId="24" fillId="0" borderId="15" xfId="2" applyNumberFormat="1" applyFont="1" applyBorder="1" applyAlignment="1">
      <alignment horizontal="center" vertical="center" wrapText="1"/>
    </xf>
    <xf numFmtId="0" fontId="25" fillId="0" borderId="16" xfId="2" applyFont="1" applyBorder="1" applyAlignment="1">
      <alignment horizontal="left" vertical="center" wrapText="1"/>
    </xf>
    <xf numFmtId="181" fontId="23" fillId="0" borderId="17" xfId="2" applyNumberFormat="1" applyFont="1" applyBorder="1" applyAlignment="1">
      <alignment vertical="center"/>
    </xf>
    <xf numFmtId="181" fontId="23" fillId="0" borderId="1" xfId="2" applyNumberFormat="1" applyFont="1" applyBorder="1" applyAlignment="1">
      <alignment vertical="center"/>
    </xf>
    <xf numFmtId="182" fontId="23" fillId="0" borderId="1" xfId="2" applyNumberFormat="1" applyFont="1" applyBorder="1" applyAlignment="1">
      <alignment vertical="center"/>
    </xf>
    <xf numFmtId="183" fontId="23" fillId="0" borderId="8" xfId="1" applyNumberFormat="1" applyFont="1" applyBorder="1">
      <alignment vertical="center"/>
    </xf>
    <xf numFmtId="0" fontId="13" fillId="0" borderId="8" xfId="2" applyFont="1" applyBorder="1" applyAlignment="1">
      <alignment horizontal="center" vertical="center" shrinkToFit="1"/>
    </xf>
    <xf numFmtId="41" fontId="23" fillId="0" borderId="8" xfId="1" applyFont="1" applyFill="1" applyBorder="1">
      <alignment vertical="center"/>
    </xf>
    <xf numFmtId="0" fontId="26" fillId="0" borderId="0" xfId="0" applyFont="1" applyAlignment="1">
      <alignment horizontal="center" vertical="center"/>
    </xf>
    <xf numFmtId="0" fontId="13" fillId="3" borderId="8" xfId="2" applyFont="1" applyFill="1" applyBorder="1" applyAlignment="1">
      <alignment horizontal="center" vertical="center" shrinkToFit="1"/>
    </xf>
    <xf numFmtId="41" fontId="23" fillId="3" borderId="8" xfId="1" applyFont="1" applyFill="1" applyBorder="1">
      <alignment vertical="center"/>
    </xf>
    <xf numFmtId="180" fontId="24" fillId="3" borderId="15" xfId="2" applyNumberFormat="1" applyFont="1" applyFill="1" applyBorder="1" applyAlignment="1">
      <alignment horizontal="center" vertical="center" wrapText="1"/>
    </xf>
    <xf numFmtId="0" fontId="25" fillId="3" borderId="16" xfId="2" applyFont="1" applyFill="1" applyBorder="1" applyAlignment="1">
      <alignment horizontal="left" vertical="center" wrapText="1"/>
    </xf>
    <xf numFmtId="180" fontId="25" fillId="3" borderId="15" xfId="2" applyNumberFormat="1" applyFont="1" applyFill="1" applyBorder="1" applyAlignment="1">
      <alignment horizontal="center" vertical="center" wrapText="1"/>
    </xf>
    <xf numFmtId="183" fontId="24" fillId="0" borderId="8" xfId="1" applyNumberFormat="1" applyFont="1" applyBorder="1">
      <alignment vertical="center"/>
    </xf>
    <xf numFmtId="184" fontId="27" fillId="0" borderId="0" xfId="0" applyNumberFormat="1" applyFont="1" applyAlignment="1">
      <alignment horizontal="center" vertical="center"/>
    </xf>
    <xf numFmtId="181" fontId="23" fillId="0" borderId="17" xfId="2" applyNumberFormat="1" applyFont="1" applyBorder="1" applyAlignment="1">
      <alignment horizontal="center" vertical="center"/>
    </xf>
    <xf numFmtId="181" fontId="28" fillId="0" borderId="13" xfId="2" applyNumberFormat="1" applyFont="1" applyBorder="1" applyAlignment="1">
      <alignment horizontal="center" vertical="center"/>
    </xf>
    <xf numFmtId="181" fontId="29" fillId="0" borderId="3" xfId="2" applyNumberFormat="1" applyFont="1" applyBorder="1" applyAlignment="1">
      <alignment vertical="center"/>
    </xf>
    <xf numFmtId="181" fontId="30" fillId="0" borderId="3" xfId="2" applyNumberFormat="1" applyFont="1" applyBorder="1" applyAlignment="1">
      <alignment vertical="center"/>
    </xf>
    <xf numFmtId="183" fontId="29" fillId="0" borderId="3" xfId="2" applyNumberFormat="1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181" fontId="32" fillId="0" borderId="13" xfId="2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38" fontId="9" fillId="0" borderId="8" xfId="2" applyNumberFormat="1" applyFont="1" applyBorder="1" applyAlignment="1">
      <alignment horizontal="center" vertical="center"/>
    </xf>
    <xf numFmtId="38" fontId="9" fillId="0" borderId="12" xfId="2" applyNumberFormat="1" applyFont="1" applyBorder="1" applyAlignment="1">
      <alignment horizontal="center" vertical="center"/>
    </xf>
    <xf numFmtId="38" fontId="9" fillId="0" borderId="14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8" fontId="8" fillId="0" borderId="7" xfId="2" applyNumberFormat="1" applyFont="1" applyBorder="1" applyAlignment="1">
      <alignment horizontal="center" vertical="center" wrapText="1"/>
    </xf>
    <xf numFmtId="38" fontId="8" fillId="0" borderId="9" xfId="2" applyNumberFormat="1" applyFont="1" applyBorder="1" applyAlignment="1">
      <alignment horizontal="center" vertical="center" wrapText="1"/>
    </xf>
    <xf numFmtId="38" fontId="8" fillId="0" borderId="10" xfId="2" applyNumberFormat="1" applyFont="1" applyBorder="1" applyAlignment="1">
      <alignment horizontal="center" vertical="center" wrapText="1"/>
    </xf>
    <xf numFmtId="38" fontId="9" fillId="0" borderId="7" xfId="2" applyNumberFormat="1" applyFont="1" applyBorder="1" applyAlignment="1">
      <alignment horizontal="center" vertical="center"/>
    </xf>
    <xf numFmtId="177" fontId="9" fillId="0" borderId="7" xfId="2" applyNumberFormat="1" applyFont="1" applyBorder="1" applyAlignment="1">
      <alignment horizontal="center" vertical="center"/>
    </xf>
    <xf numFmtId="177" fontId="9" fillId="0" borderId="9" xfId="2" applyNumberFormat="1" applyFont="1" applyBorder="1" applyAlignment="1">
      <alignment horizontal="center" vertical="center"/>
    </xf>
    <xf numFmtId="177" fontId="9" fillId="0" borderId="10" xfId="2" applyNumberFormat="1" applyFont="1" applyBorder="1" applyAlignment="1">
      <alignment horizontal="center" vertical="center"/>
    </xf>
    <xf numFmtId="38" fontId="9" fillId="0" borderId="1" xfId="2" applyNumberFormat="1" applyFont="1" applyBorder="1" applyAlignment="1">
      <alignment horizontal="center" vertical="center"/>
    </xf>
    <xf numFmtId="38" fontId="9" fillId="0" borderId="11" xfId="2" applyNumberFormat="1" applyFont="1" applyBorder="1" applyAlignment="1">
      <alignment horizontal="center" vertical="center"/>
    </xf>
    <xf numFmtId="38" fontId="9" fillId="0" borderId="4" xfId="2" applyNumberFormat="1" applyFont="1" applyBorder="1" applyAlignment="1">
      <alignment horizontal="center" vertical="center"/>
    </xf>
    <xf numFmtId="38" fontId="2" fillId="0" borderId="0" xfId="2" quotePrefix="1" applyNumberFormat="1" applyFont="1" applyAlignment="1">
      <alignment horizontal="center" vertical="center"/>
    </xf>
    <xf numFmtId="38" fontId="6" fillId="0" borderId="1" xfId="2" applyNumberFormat="1" applyFont="1" applyBorder="1" applyAlignment="1">
      <alignment horizontal="center" vertical="center"/>
    </xf>
    <xf numFmtId="38" fontId="6" fillId="0" borderId="2" xfId="2" applyNumberFormat="1" applyFont="1" applyBorder="1" applyAlignment="1">
      <alignment horizontal="center" vertical="center"/>
    </xf>
    <xf numFmtId="38" fontId="6" fillId="0" borderId="4" xfId="2" applyNumberFormat="1" applyFont="1" applyBorder="1" applyAlignment="1">
      <alignment horizontal="center" vertical="center"/>
    </xf>
    <xf numFmtId="38" fontId="6" fillId="0" borderId="5" xfId="2" applyNumberFormat="1" applyFont="1" applyBorder="1" applyAlignment="1">
      <alignment horizontal="center" vertical="center"/>
    </xf>
    <xf numFmtId="176" fontId="9" fillId="0" borderId="0" xfId="2" applyNumberFormat="1" applyFont="1" applyAlignment="1">
      <alignment horizontal="left" vertical="center"/>
    </xf>
    <xf numFmtId="38" fontId="13" fillId="0" borderId="3" xfId="2" applyNumberFormat="1" applyFont="1" applyBorder="1" applyAlignment="1">
      <alignment horizontal="center" vertical="center"/>
    </xf>
    <xf numFmtId="38" fontId="13" fillId="0" borderId="1" xfId="2" applyNumberFormat="1" applyFont="1" applyBorder="1" applyAlignment="1">
      <alignment horizontal="center" vertical="center" wrapText="1"/>
    </xf>
    <xf numFmtId="38" fontId="13" fillId="0" borderId="2" xfId="2" applyNumberFormat="1" applyFont="1" applyBorder="1" applyAlignment="1">
      <alignment horizontal="center" vertical="center" wrapText="1"/>
    </xf>
    <xf numFmtId="38" fontId="13" fillId="0" borderId="4" xfId="2" applyNumberFormat="1" applyFont="1" applyBorder="1" applyAlignment="1">
      <alignment horizontal="center" vertical="center" wrapText="1"/>
    </xf>
    <xf numFmtId="38" fontId="13" fillId="0" borderId="5" xfId="2" applyNumberFormat="1" applyFont="1" applyBorder="1" applyAlignment="1">
      <alignment horizontal="center" vertical="center" wrapText="1"/>
    </xf>
    <xf numFmtId="176" fontId="9" fillId="0" borderId="6" xfId="2" applyNumberFormat="1" applyFont="1" applyBorder="1" applyAlignment="1">
      <alignment horizontal="right" vertical="center"/>
    </xf>
  </cellXfs>
  <cellStyles count="3">
    <cellStyle name="쉼표 [0]" xfId="1" builtinId="6"/>
    <cellStyle name="표준" xfId="0" builtinId="0"/>
    <cellStyle name="표준_기성청구서" xfId="2" xr:uid="{6CA677FF-AB86-4472-80C1-97E852D74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%20&#54788;&#51109;\01%20&#50896;&#51452;\01%20&#44288;&#47532;\01%20&#52636;&#47141;%20&#50896;&#51452;&#47924;&#49892;\03%20&#45432;&#51076;&#45824;&#51109;\&#45432;&#51076;&#45824;&#51109;%2026&#45380;%2007&#50900;%20&#50896;&#51452;&#47924;&#49892;\02%20&#45432;&#51076;&#45824;&#51109;-26&#45380;%207&#50900;-&#50896;&#51452;&#47924;&#49892;-&#51221;&#49328;.xlsx" TargetMode="External"/><Relationship Id="rId1" Type="http://schemas.openxmlformats.org/officeDocument/2006/relationships/externalLinkPath" Target="02%20&#45432;&#51076;&#45824;&#51109;-26&#45380;%207&#50900;-&#50896;&#51452;&#47924;&#49892;-&#51221;&#493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관리"/>
      <sheetName val="직영"/>
      <sheetName val="영서인력"/>
      <sheetName val="123인력"/>
      <sheetName val="한봉만"/>
      <sheetName val="한봉만 (합원)"/>
      <sheetName val="한봉만 (원2)"/>
      <sheetName val="한봉만 (원1)"/>
      <sheetName val="김진"/>
      <sheetName val="알폼"/>
      <sheetName val="철근(실)"/>
      <sheetName val="타설(실)"/>
      <sheetName val="마감미장"/>
      <sheetName val="시스템"/>
      <sheetName val="해체"/>
      <sheetName val="정리"/>
      <sheetName val="견출할석"/>
      <sheetName val="직종표"/>
      <sheetName val="출력표"/>
      <sheetName val="출력표 (합)"/>
      <sheetName val="출력"/>
      <sheetName val="출력검색"/>
      <sheetName val="원주인명부"/>
      <sheetName val="장비"/>
      <sheetName val="세대청소"/>
      <sheetName val="타워"/>
      <sheetName val="박상규"/>
      <sheetName val="강춘일"/>
      <sheetName val="정국철"/>
      <sheetName val="장한"/>
      <sheetName val="출력 월보"/>
    </sheetNames>
    <sheetDataSet>
      <sheetData sheetId="0">
        <row r="2">
          <cell r="AL2" t="str">
            <v>원주무실 공동주택 신축공사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변두섭</v>
          </cell>
          <cell r="B1">
            <v>1</v>
          </cell>
        </row>
        <row r="2">
          <cell r="A2" t="str">
            <v>김표</v>
          </cell>
          <cell r="B2">
            <v>1</v>
          </cell>
        </row>
        <row r="3">
          <cell r="A3" t="str">
            <v>서기종</v>
          </cell>
          <cell r="B3">
            <v>1</v>
          </cell>
        </row>
        <row r="4">
          <cell r="A4" t="str">
            <v>최돈화</v>
          </cell>
          <cell r="B4">
            <v>1</v>
          </cell>
        </row>
        <row r="5">
          <cell r="A5" t="str">
            <v>이헌근</v>
          </cell>
          <cell r="B5">
            <v>1</v>
          </cell>
        </row>
        <row r="6">
          <cell r="A6" t="str">
            <v>이성식</v>
          </cell>
          <cell r="B6">
            <v>1</v>
          </cell>
        </row>
        <row r="7">
          <cell r="A7" t="str">
            <v>홍성원</v>
          </cell>
          <cell r="B7">
            <v>1</v>
          </cell>
        </row>
        <row r="8">
          <cell r="A8" t="str">
            <v>이영상</v>
          </cell>
          <cell r="B8">
            <v>1</v>
          </cell>
        </row>
        <row r="9">
          <cell r="A9" t="str">
            <v>김영민</v>
          </cell>
          <cell r="B9">
            <v>1</v>
          </cell>
        </row>
        <row r="10">
          <cell r="A10" t="str">
            <v>정혜경</v>
          </cell>
          <cell r="B10">
            <v>1</v>
          </cell>
        </row>
        <row r="11">
          <cell r="A11" t="str">
            <v>정태선</v>
          </cell>
          <cell r="B11">
            <v>1</v>
          </cell>
        </row>
        <row r="12">
          <cell r="A12" t="str">
            <v>이상우</v>
          </cell>
          <cell r="B12">
            <v>1</v>
          </cell>
        </row>
        <row r="13">
          <cell r="A13" t="str">
            <v>김복남</v>
          </cell>
          <cell r="B13">
            <v>1</v>
          </cell>
        </row>
        <row r="14">
          <cell r="A14" t="str">
            <v>홍성환</v>
          </cell>
          <cell r="B14">
            <v>1</v>
          </cell>
        </row>
        <row r="15">
          <cell r="A15" t="str">
            <v>이두성</v>
          </cell>
          <cell r="B15">
            <v>1</v>
          </cell>
        </row>
        <row r="16">
          <cell r="A16" t="str">
            <v>최상순</v>
          </cell>
          <cell r="B16">
            <v>1</v>
          </cell>
        </row>
        <row r="17">
          <cell r="A17" t="str">
            <v>김성백65</v>
          </cell>
          <cell r="B17">
            <v>1</v>
          </cell>
        </row>
        <row r="18">
          <cell r="A18" t="str">
            <v>샤브카틸로</v>
          </cell>
          <cell r="B18">
            <v>1</v>
          </cell>
        </row>
        <row r="19">
          <cell r="A19" t="str">
            <v>이정규용</v>
          </cell>
          <cell r="B19">
            <v>1</v>
          </cell>
        </row>
        <row r="20">
          <cell r="A20" t="str">
            <v>김호현</v>
          </cell>
          <cell r="B20">
            <v>1</v>
          </cell>
        </row>
        <row r="21">
          <cell r="A21" t="str">
            <v>김시영</v>
          </cell>
          <cell r="B21">
            <v>1</v>
          </cell>
        </row>
        <row r="22">
          <cell r="A22" t="str">
            <v>김용환90</v>
          </cell>
          <cell r="B22">
            <v>1</v>
          </cell>
        </row>
        <row r="23">
          <cell r="A23" t="str">
            <v>최문영</v>
          </cell>
          <cell r="B23">
            <v>1</v>
          </cell>
        </row>
        <row r="24">
          <cell r="A24" t="str">
            <v>함영표</v>
          </cell>
          <cell r="B24">
            <v>1</v>
          </cell>
        </row>
        <row r="25">
          <cell r="A25" t="str">
            <v>이상민</v>
          </cell>
          <cell r="B25">
            <v>1</v>
          </cell>
        </row>
        <row r="26">
          <cell r="A26" t="str">
            <v>최용석</v>
          </cell>
          <cell r="B26">
            <v>1</v>
          </cell>
        </row>
        <row r="27">
          <cell r="A27" t="str">
            <v>조희철</v>
          </cell>
          <cell r="B27">
            <v>1</v>
          </cell>
        </row>
        <row r="28">
          <cell r="A28" t="str">
            <v>원종섭</v>
          </cell>
          <cell r="B28">
            <v>1</v>
          </cell>
        </row>
        <row r="29">
          <cell r="A29" t="str">
            <v>이성규</v>
          </cell>
          <cell r="B29">
            <v>1</v>
          </cell>
        </row>
        <row r="30">
          <cell r="A30" t="str">
            <v>김삼영</v>
          </cell>
          <cell r="B30">
            <v>1</v>
          </cell>
        </row>
        <row r="31">
          <cell r="A31" t="str">
            <v>한봉만</v>
          </cell>
          <cell r="B31">
            <v>1</v>
          </cell>
        </row>
        <row r="32">
          <cell r="A32" t="str">
            <v>황용호</v>
          </cell>
          <cell r="B32">
            <v>1</v>
          </cell>
        </row>
        <row r="33">
          <cell r="A33" t="str">
            <v>한남빈</v>
          </cell>
          <cell r="B33">
            <v>1</v>
          </cell>
        </row>
        <row r="34">
          <cell r="A34" t="str">
            <v>김홍식</v>
          </cell>
          <cell r="B34">
            <v>1</v>
          </cell>
        </row>
        <row r="35">
          <cell r="A35" t="str">
            <v>김봉</v>
          </cell>
          <cell r="B35">
            <v>1</v>
          </cell>
        </row>
        <row r="36">
          <cell r="A36" t="str">
            <v>최일</v>
          </cell>
          <cell r="B36">
            <v>1</v>
          </cell>
        </row>
        <row r="37">
          <cell r="A37" t="str">
            <v>최일우</v>
          </cell>
          <cell r="B37">
            <v>1</v>
          </cell>
        </row>
        <row r="38">
          <cell r="A38" t="str">
            <v>손상철</v>
          </cell>
          <cell r="B38">
            <v>1</v>
          </cell>
        </row>
        <row r="39">
          <cell r="A39" t="str">
            <v>이용섭</v>
          </cell>
          <cell r="B39">
            <v>1</v>
          </cell>
        </row>
        <row r="40">
          <cell r="A40" t="str">
            <v>김진</v>
          </cell>
          <cell r="B40">
            <v>1</v>
          </cell>
        </row>
        <row r="41">
          <cell r="A41" t="str">
            <v>이영희</v>
          </cell>
          <cell r="B41">
            <v>1</v>
          </cell>
        </row>
        <row r="42">
          <cell r="A42" t="str">
            <v>왕연군</v>
          </cell>
          <cell r="B42">
            <v>1</v>
          </cell>
        </row>
        <row r="43">
          <cell r="A43" t="str">
            <v>여진부</v>
          </cell>
          <cell r="B43">
            <v>1</v>
          </cell>
        </row>
        <row r="44">
          <cell r="A44" t="str">
            <v>디엔득</v>
          </cell>
          <cell r="B44">
            <v>1</v>
          </cell>
        </row>
        <row r="45">
          <cell r="A45" t="str">
            <v>디엔누이</v>
          </cell>
          <cell r="B45">
            <v>1</v>
          </cell>
        </row>
        <row r="46">
          <cell r="A46" t="str">
            <v>디엔황</v>
          </cell>
          <cell r="B46">
            <v>1</v>
          </cell>
        </row>
        <row r="47">
          <cell r="A47" t="str">
            <v>반빈</v>
          </cell>
          <cell r="B47">
            <v>1</v>
          </cell>
        </row>
        <row r="48">
          <cell r="A48" t="str">
            <v>반뎀</v>
          </cell>
          <cell r="B48">
            <v>1</v>
          </cell>
        </row>
        <row r="49">
          <cell r="A49" t="str">
            <v>반투</v>
          </cell>
          <cell r="B49">
            <v>1</v>
          </cell>
        </row>
        <row r="50">
          <cell r="A50" t="str">
            <v>투안</v>
          </cell>
          <cell r="B50">
            <v>1</v>
          </cell>
        </row>
        <row r="51">
          <cell r="A51" t="str">
            <v>반중</v>
          </cell>
          <cell r="B51">
            <v>1</v>
          </cell>
        </row>
        <row r="52">
          <cell r="A52" t="str">
            <v>쩐국휘</v>
          </cell>
          <cell r="B52">
            <v>1</v>
          </cell>
        </row>
        <row r="53">
          <cell r="A53" t="str">
            <v>원반하이</v>
          </cell>
          <cell r="B53">
            <v>1</v>
          </cell>
        </row>
        <row r="54">
          <cell r="A54" t="str">
            <v>김광일</v>
          </cell>
          <cell r="B54">
            <v>3</v>
          </cell>
        </row>
        <row r="55">
          <cell r="A55" t="str">
            <v>장명수</v>
          </cell>
          <cell r="B55">
            <v>3</v>
          </cell>
        </row>
        <row r="56">
          <cell r="A56" t="str">
            <v>박증남</v>
          </cell>
          <cell r="B56">
            <v>3</v>
          </cell>
        </row>
        <row r="57">
          <cell r="A57" t="str">
            <v>한상길</v>
          </cell>
          <cell r="B57">
            <v>3</v>
          </cell>
        </row>
        <row r="58">
          <cell r="A58" t="str">
            <v>장비상</v>
          </cell>
          <cell r="B58">
            <v>3</v>
          </cell>
        </row>
        <row r="59">
          <cell r="A59" t="str">
            <v>오춘생</v>
          </cell>
          <cell r="B59">
            <v>3</v>
          </cell>
        </row>
        <row r="60">
          <cell r="A60" t="str">
            <v>송성동</v>
          </cell>
          <cell r="B60">
            <v>3</v>
          </cell>
        </row>
        <row r="61">
          <cell r="A61" t="str">
            <v>장위</v>
          </cell>
          <cell r="B61">
            <v>3</v>
          </cell>
        </row>
        <row r="62">
          <cell r="A62" t="str">
            <v>시파</v>
          </cell>
          <cell r="B62">
            <v>3</v>
          </cell>
        </row>
        <row r="63">
          <cell r="A63" t="str">
            <v>왕해군</v>
          </cell>
          <cell r="B63">
            <v>3</v>
          </cell>
        </row>
        <row r="64">
          <cell r="A64" t="str">
            <v>천수귀</v>
          </cell>
          <cell r="B64">
            <v>3</v>
          </cell>
        </row>
        <row r="65">
          <cell r="A65" t="str">
            <v>구춘군</v>
          </cell>
          <cell r="B65">
            <v>3</v>
          </cell>
        </row>
        <row r="66">
          <cell r="A66" t="str">
            <v>왕멍</v>
          </cell>
          <cell r="B66">
            <v>3</v>
          </cell>
        </row>
        <row r="67">
          <cell r="A67" t="str">
            <v>왕걸</v>
          </cell>
          <cell r="B67">
            <v>3</v>
          </cell>
        </row>
        <row r="68">
          <cell r="A68" t="str">
            <v>류야창</v>
          </cell>
          <cell r="B68">
            <v>3</v>
          </cell>
        </row>
        <row r="69">
          <cell r="A69" t="str">
            <v>최로관</v>
          </cell>
          <cell r="B69">
            <v>3</v>
          </cell>
        </row>
        <row r="70">
          <cell r="A70" t="str">
            <v>서뢰</v>
          </cell>
          <cell r="B70">
            <v>3</v>
          </cell>
        </row>
        <row r="71">
          <cell r="A71" t="str">
            <v>소해도</v>
          </cell>
          <cell r="B71">
            <v>3</v>
          </cell>
        </row>
        <row r="72">
          <cell r="A72" t="str">
            <v>소빈</v>
          </cell>
          <cell r="B72">
            <v>3</v>
          </cell>
        </row>
        <row r="73">
          <cell r="A73" t="str">
            <v>주영광</v>
          </cell>
          <cell r="B73">
            <v>3</v>
          </cell>
        </row>
        <row r="74">
          <cell r="A74" t="str">
            <v>왕수론</v>
          </cell>
          <cell r="B74">
            <v>3</v>
          </cell>
        </row>
        <row r="75">
          <cell r="A75" t="str">
            <v>조청화</v>
          </cell>
          <cell r="B75">
            <v>3</v>
          </cell>
        </row>
        <row r="76">
          <cell r="A76" t="str">
            <v>호소핑</v>
          </cell>
          <cell r="B76">
            <v>3</v>
          </cell>
        </row>
        <row r="77">
          <cell r="A77" t="str">
            <v>연성옥</v>
          </cell>
          <cell r="B77">
            <v>3</v>
          </cell>
        </row>
        <row r="78">
          <cell r="A78" t="str">
            <v>곽리동</v>
          </cell>
          <cell r="B78">
            <v>3</v>
          </cell>
        </row>
        <row r="79">
          <cell r="A79" t="str">
            <v>곽리위</v>
          </cell>
          <cell r="B79">
            <v>3</v>
          </cell>
        </row>
        <row r="80">
          <cell r="A80" t="str">
            <v>배상문</v>
          </cell>
          <cell r="B80">
            <v>1</v>
          </cell>
        </row>
        <row r="81">
          <cell r="A81" t="str">
            <v>차재학</v>
          </cell>
          <cell r="B81">
            <v>1</v>
          </cell>
        </row>
        <row r="82">
          <cell r="A82" t="str">
            <v>양종선</v>
          </cell>
          <cell r="B82">
            <v>1</v>
          </cell>
        </row>
        <row r="83">
          <cell r="A83" t="str">
            <v>허영남</v>
          </cell>
          <cell r="B83">
            <v>1</v>
          </cell>
        </row>
        <row r="84">
          <cell r="A84" t="str">
            <v>김경현</v>
          </cell>
          <cell r="B84">
            <v>1</v>
          </cell>
        </row>
        <row r="85">
          <cell r="A85" t="str">
            <v>박현정</v>
          </cell>
          <cell r="B85">
            <v>1</v>
          </cell>
        </row>
        <row r="86">
          <cell r="A86" t="str">
            <v>썸으러</v>
          </cell>
          <cell r="B86">
            <v>1</v>
          </cell>
        </row>
        <row r="87">
          <cell r="A87" t="str">
            <v>리헝</v>
          </cell>
          <cell r="B87">
            <v>1</v>
          </cell>
        </row>
        <row r="88">
          <cell r="A88" t="str">
            <v>니피에라</v>
          </cell>
          <cell r="B88">
            <v>1</v>
          </cell>
        </row>
        <row r="89">
          <cell r="A89" t="str">
            <v>핀타눈</v>
          </cell>
          <cell r="B89">
            <v>1</v>
          </cell>
        </row>
        <row r="90">
          <cell r="A90" t="str">
            <v>다렛</v>
          </cell>
          <cell r="B90">
            <v>1</v>
          </cell>
        </row>
        <row r="91">
          <cell r="A91" t="str">
            <v>윤찬롱</v>
          </cell>
          <cell r="B91">
            <v>1</v>
          </cell>
        </row>
        <row r="92">
          <cell r="A92" t="str">
            <v>로다나</v>
          </cell>
          <cell r="B92">
            <v>1</v>
          </cell>
        </row>
        <row r="93">
          <cell r="A93" t="str">
            <v>석후</v>
          </cell>
          <cell r="B93">
            <v>1</v>
          </cell>
        </row>
        <row r="94">
          <cell r="A94" t="str">
            <v>원태종</v>
          </cell>
          <cell r="B94">
            <v>1</v>
          </cell>
        </row>
        <row r="95">
          <cell r="A95" t="str">
            <v>레반칸</v>
          </cell>
          <cell r="B95">
            <v>1</v>
          </cell>
        </row>
        <row r="96">
          <cell r="A96" t="str">
            <v>판반종</v>
          </cell>
          <cell r="B96">
            <v>1</v>
          </cell>
        </row>
        <row r="97">
          <cell r="A97" t="str">
            <v>원쑤안영</v>
          </cell>
          <cell r="B97">
            <v>1</v>
          </cell>
        </row>
        <row r="98">
          <cell r="A98" t="str">
            <v>당빈톤</v>
          </cell>
          <cell r="B98">
            <v>1</v>
          </cell>
        </row>
        <row r="99">
          <cell r="A99" t="str">
            <v>반납</v>
          </cell>
          <cell r="B99">
            <v>1</v>
          </cell>
        </row>
        <row r="100">
          <cell r="A100" t="str">
            <v>이병준</v>
          </cell>
          <cell r="B100">
            <v>1</v>
          </cell>
        </row>
        <row r="101">
          <cell r="A101" t="str">
            <v>배봉효</v>
          </cell>
          <cell r="B101">
            <v>1</v>
          </cell>
        </row>
        <row r="102">
          <cell r="A102" t="str">
            <v>김선우</v>
          </cell>
          <cell r="B102">
            <v>1</v>
          </cell>
        </row>
        <row r="103">
          <cell r="A103" t="str">
            <v>공태영</v>
          </cell>
          <cell r="B103">
            <v>1</v>
          </cell>
        </row>
        <row r="104">
          <cell r="A104" t="str">
            <v>최준모</v>
          </cell>
          <cell r="B104">
            <v>1</v>
          </cell>
        </row>
        <row r="105">
          <cell r="A105" t="str">
            <v>엄대진</v>
          </cell>
          <cell r="B105">
            <v>2</v>
          </cell>
        </row>
        <row r="106">
          <cell r="A106" t="str">
            <v>한센</v>
          </cell>
          <cell r="B106">
            <v>2</v>
          </cell>
        </row>
        <row r="107">
          <cell r="A107" t="str">
            <v>록만</v>
          </cell>
          <cell r="B107">
            <v>2</v>
          </cell>
        </row>
        <row r="108">
          <cell r="A108" t="str">
            <v>리잘</v>
          </cell>
          <cell r="B108">
            <v>2</v>
          </cell>
        </row>
        <row r="109">
          <cell r="A109" t="str">
            <v>미사엘</v>
          </cell>
          <cell r="B109">
            <v>2</v>
          </cell>
        </row>
        <row r="110">
          <cell r="A110" t="str">
            <v>라킴잔</v>
          </cell>
          <cell r="B110">
            <v>2</v>
          </cell>
        </row>
        <row r="111">
          <cell r="A111" t="str">
            <v>동반티오</v>
          </cell>
          <cell r="B111">
            <v>2</v>
          </cell>
        </row>
        <row r="112">
          <cell r="A112" t="str">
            <v>김병태</v>
          </cell>
          <cell r="B112">
            <v>1</v>
          </cell>
        </row>
        <row r="113">
          <cell r="A113" t="str">
            <v>곽승득</v>
          </cell>
          <cell r="B113">
            <v>1</v>
          </cell>
        </row>
        <row r="114">
          <cell r="A114" t="str">
            <v>임동수</v>
          </cell>
          <cell r="B114">
            <v>1</v>
          </cell>
        </row>
        <row r="115">
          <cell r="A115" t="str">
            <v>조수빈</v>
          </cell>
          <cell r="B115">
            <v>1</v>
          </cell>
        </row>
        <row r="116">
          <cell r="A116" t="str">
            <v>조병권</v>
          </cell>
          <cell r="B116">
            <v>1</v>
          </cell>
        </row>
        <row r="117">
          <cell r="A117" t="str">
            <v>마영수</v>
          </cell>
          <cell r="B117">
            <v>1</v>
          </cell>
        </row>
        <row r="118">
          <cell r="A118" t="str">
            <v>안승주</v>
          </cell>
          <cell r="B118">
            <v>1</v>
          </cell>
        </row>
        <row r="119">
          <cell r="A119" t="str">
            <v>알리시</v>
          </cell>
          <cell r="B119">
            <v>1</v>
          </cell>
        </row>
        <row r="120">
          <cell r="A120" t="str">
            <v>정운수</v>
          </cell>
          <cell r="B120">
            <v>1</v>
          </cell>
        </row>
        <row r="121">
          <cell r="A121" t="str">
            <v>강성실</v>
          </cell>
          <cell r="B121">
            <v>1</v>
          </cell>
        </row>
        <row r="122">
          <cell r="A122" t="str">
            <v>김수인</v>
          </cell>
          <cell r="B122">
            <v>1</v>
          </cell>
        </row>
        <row r="123">
          <cell r="A123" t="str">
            <v>반산하</v>
          </cell>
          <cell r="B123">
            <v>1</v>
          </cell>
        </row>
        <row r="124">
          <cell r="A124" t="str">
            <v>조전강</v>
          </cell>
          <cell r="B124">
            <v>1</v>
          </cell>
        </row>
        <row r="125">
          <cell r="A125" t="str">
            <v>장리</v>
          </cell>
          <cell r="B125">
            <v>1</v>
          </cell>
        </row>
        <row r="126">
          <cell r="A126" t="str">
            <v>이성용</v>
          </cell>
          <cell r="B126">
            <v>1</v>
          </cell>
        </row>
        <row r="127">
          <cell r="A127" t="str">
            <v>이용권</v>
          </cell>
          <cell r="B127">
            <v>1</v>
          </cell>
        </row>
        <row r="128">
          <cell r="A128" t="str">
            <v>김중호콘</v>
          </cell>
          <cell r="B128">
            <v>1</v>
          </cell>
        </row>
        <row r="129">
          <cell r="A129" t="str">
            <v>채국군</v>
          </cell>
          <cell r="B129">
            <v>1</v>
          </cell>
        </row>
        <row r="130">
          <cell r="A130" t="str">
            <v>오명환</v>
          </cell>
          <cell r="B130">
            <v>1</v>
          </cell>
        </row>
        <row r="131">
          <cell r="A131" t="str">
            <v>나영학</v>
          </cell>
          <cell r="B131">
            <v>1</v>
          </cell>
        </row>
        <row r="132">
          <cell r="A132" t="str">
            <v>김성근</v>
          </cell>
          <cell r="B132">
            <v>1</v>
          </cell>
        </row>
        <row r="133">
          <cell r="A133" t="str">
            <v>금정화</v>
          </cell>
          <cell r="B133">
            <v>1</v>
          </cell>
        </row>
        <row r="134">
          <cell r="A134" t="str">
            <v>이경수</v>
          </cell>
          <cell r="B134">
            <v>1</v>
          </cell>
        </row>
        <row r="135">
          <cell r="A135" t="str">
            <v>이경윤</v>
          </cell>
          <cell r="B135">
            <v>1</v>
          </cell>
        </row>
        <row r="136">
          <cell r="A136" t="str">
            <v>임필주</v>
          </cell>
          <cell r="B136">
            <v>1</v>
          </cell>
        </row>
        <row r="137">
          <cell r="A137" t="str">
            <v>강수희</v>
          </cell>
          <cell r="B137">
            <v>1</v>
          </cell>
        </row>
        <row r="138">
          <cell r="A138" t="str">
            <v>국수호</v>
          </cell>
          <cell r="B138">
            <v>1</v>
          </cell>
        </row>
        <row r="139">
          <cell r="A139" t="str">
            <v>김진국할</v>
          </cell>
          <cell r="B139">
            <v>1</v>
          </cell>
        </row>
        <row r="140">
          <cell r="A140" t="str">
            <v>임희하</v>
          </cell>
          <cell r="B140">
            <v>1</v>
          </cell>
        </row>
        <row r="141">
          <cell r="A141" t="str">
            <v>왕커랑</v>
          </cell>
          <cell r="B141">
            <v>1</v>
          </cell>
        </row>
        <row r="142">
          <cell r="A142" t="str">
            <v>마영병</v>
          </cell>
          <cell r="B142">
            <v>1</v>
          </cell>
        </row>
        <row r="143">
          <cell r="A143" t="str">
            <v>김성철미</v>
          </cell>
          <cell r="B143">
            <v>1</v>
          </cell>
        </row>
        <row r="144">
          <cell r="A144" t="str">
            <v>성춘기</v>
          </cell>
          <cell r="B144">
            <v>1</v>
          </cell>
        </row>
        <row r="145">
          <cell r="A145" t="str">
            <v>이준석</v>
          </cell>
          <cell r="B145">
            <v>1</v>
          </cell>
        </row>
        <row r="146">
          <cell r="A146" t="str">
            <v>장원일</v>
          </cell>
          <cell r="B146">
            <v>1</v>
          </cell>
        </row>
        <row r="147">
          <cell r="A147" t="str">
            <v>한상윤</v>
          </cell>
          <cell r="B147">
            <v>1</v>
          </cell>
        </row>
        <row r="148">
          <cell r="A148" t="str">
            <v>안현용</v>
          </cell>
          <cell r="B148">
            <v>1</v>
          </cell>
        </row>
        <row r="149">
          <cell r="A149" t="str">
            <v>오저드</v>
          </cell>
          <cell r="B149">
            <v>3</v>
          </cell>
        </row>
        <row r="150">
          <cell r="B150">
            <v>1</v>
          </cell>
        </row>
        <row r="151">
          <cell r="B151">
            <v>1</v>
          </cell>
        </row>
        <row r="152">
          <cell r="B152">
            <v>1</v>
          </cell>
        </row>
        <row r="153">
          <cell r="B153">
            <v>1</v>
          </cell>
        </row>
        <row r="154">
          <cell r="B154">
            <v>1</v>
          </cell>
        </row>
        <row r="155">
          <cell r="B155">
            <v>1</v>
          </cell>
        </row>
        <row r="156">
          <cell r="B156">
            <v>1</v>
          </cell>
        </row>
        <row r="157">
          <cell r="B157">
            <v>1</v>
          </cell>
        </row>
        <row r="158">
          <cell r="B158">
            <v>1</v>
          </cell>
        </row>
        <row r="159">
          <cell r="B159">
            <v>1</v>
          </cell>
        </row>
        <row r="160">
          <cell r="B160">
            <v>1</v>
          </cell>
        </row>
        <row r="161">
          <cell r="B161">
            <v>1</v>
          </cell>
        </row>
        <row r="162">
          <cell r="B162">
            <v>1</v>
          </cell>
        </row>
        <row r="163">
          <cell r="B163">
            <v>1</v>
          </cell>
        </row>
        <row r="164">
          <cell r="B164">
            <v>1</v>
          </cell>
        </row>
        <row r="165">
          <cell r="B165">
            <v>1</v>
          </cell>
        </row>
        <row r="166">
          <cell r="B166">
            <v>1</v>
          </cell>
        </row>
        <row r="167">
          <cell r="B167">
            <v>1</v>
          </cell>
        </row>
        <row r="168">
          <cell r="B168">
            <v>1</v>
          </cell>
        </row>
        <row r="169">
          <cell r="B169">
            <v>1</v>
          </cell>
        </row>
        <row r="170">
          <cell r="B170">
            <v>1</v>
          </cell>
        </row>
        <row r="171">
          <cell r="B171">
            <v>1</v>
          </cell>
        </row>
        <row r="172">
          <cell r="B172">
            <v>1</v>
          </cell>
        </row>
        <row r="173">
          <cell r="B173">
            <v>1</v>
          </cell>
        </row>
        <row r="174">
          <cell r="B174">
            <v>1</v>
          </cell>
        </row>
        <row r="175">
          <cell r="B175">
            <v>1</v>
          </cell>
        </row>
        <row r="176">
          <cell r="B176">
            <v>1</v>
          </cell>
        </row>
        <row r="177">
          <cell r="B177">
            <v>1</v>
          </cell>
        </row>
        <row r="178">
          <cell r="B178">
            <v>1</v>
          </cell>
        </row>
        <row r="179">
          <cell r="B179">
            <v>1</v>
          </cell>
        </row>
        <row r="180">
          <cell r="B180">
            <v>1</v>
          </cell>
        </row>
        <row r="181">
          <cell r="B181">
            <v>1</v>
          </cell>
        </row>
        <row r="182">
          <cell r="B182">
            <v>1</v>
          </cell>
        </row>
        <row r="183">
          <cell r="B183">
            <v>1</v>
          </cell>
        </row>
        <row r="184">
          <cell r="B184">
            <v>1</v>
          </cell>
        </row>
        <row r="185">
          <cell r="B185">
            <v>1</v>
          </cell>
        </row>
        <row r="186">
          <cell r="B186">
            <v>1</v>
          </cell>
        </row>
        <row r="187">
          <cell r="B187">
            <v>1</v>
          </cell>
        </row>
        <row r="188">
          <cell r="B188">
            <v>1</v>
          </cell>
        </row>
        <row r="189">
          <cell r="B189">
            <v>1</v>
          </cell>
        </row>
        <row r="190">
          <cell r="B190">
            <v>1</v>
          </cell>
        </row>
        <row r="191">
          <cell r="B191">
            <v>1</v>
          </cell>
        </row>
        <row r="192">
          <cell r="B192">
            <v>1</v>
          </cell>
        </row>
        <row r="193">
          <cell r="B193">
            <v>1</v>
          </cell>
        </row>
        <row r="194">
          <cell r="B194">
            <v>1</v>
          </cell>
        </row>
        <row r="195">
          <cell r="B195">
            <v>1</v>
          </cell>
        </row>
        <row r="196">
          <cell r="B196">
            <v>1</v>
          </cell>
        </row>
        <row r="197">
          <cell r="B197">
            <v>1</v>
          </cell>
        </row>
        <row r="198">
          <cell r="B198">
            <v>1</v>
          </cell>
        </row>
        <row r="199">
          <cell r="B199">
            <v>1</v>
          </cell>
        </row>
        <row r="200">
          <cell r="B200">
            <v>1</v>
          </cell>
        </row>
        <row r="201">
          <cell r="B201">
            <v>1</v>
          </cell>
        </row>
        <row r="202">
          <cell r="B202">
            <v>1</v>
          </cell>
        </row>
        <row r="203">
          <cell r="B203">
            <v>1</v>
          </cell>
        </row>
        <row r="204">
          <cell r="B204">
            <v>1</v>
          </cell>
        </row>
        <row r="205">
          <cell r="B205">
            <v>1</v>
          </cell>
        </row>
        <row r="206">
          <cell r="B206">
            <v>1</v>
          </cell>
        </row>
        <row r="207">
          <cell r="B207">
            <v>1</v>
          </cell>
        </row>
        <row r="208">
          <cell r="B208">
            <v>1</v>
          </cell>
        </row>
        <row r="209">
          <cell r="B209">
            <v>1</v>
          </cell>
        </row>
        <row r="210">
          <cell r="B210">
            <v>1</v>
          </cell>
        </row>
        <row r="211">
          <cell r="B211">
            <v>1</v>
          </cell>
        </row>
        <row r="212">
          <cell r="B212">
            <v>1</v>
          </cell>
        </row>
        <row r="213">
          <cell r="B213">
            <v>1</v>
          </cell>
        </row>
        <row r="214">
          <cell r="B214">
            <v>1</v>
          </cell>
        </row>
        <row r="215">
          <cell r="B215">
            <v>1</v>
          </cell>
        </row>
        <row r="216">
          <cell r="B216">
            <v>1</v>
          </cell>
        </row>
        <row r="217">
          <cell r="B217">
            <v>1</v>
          </cell>
        </row>
        <row r="218">
          <cell r="B218">
            <v>1</v>
          </cell>
        </row>
        <row r="219">
          <cell r="B219">
            <v>1</v>
          </cell>
        </row>
        <row r="220">
          <cell r="B220">
            <v>1</v>
          </cell>
        </row>
        <row r="221">
          <cell r="B221">
            <v>1</v>
          </cell>
        </row>
        <row r="222">
          <cell r="B222">
            <v>1</v>
          </cell>
        </row>
        <row r="223">
          <cell r="B223">
            <v>1</v>
          </cell>
        </row>
        <row r="224">
          <cell r="B224">
            <v>1</v>
          </cell>
        </row>
        <row r="225">
          <cell r="B225">
            <v>1</v>
          </cell>
        </row>
        <row r="226">
          <cell r="B226">
            <v>1</v>
          </cell>
        </row>
        <row r="227">
          <cell r="B227">
            <v>1</v>
          </cell>
        </row>
        <row r="228">
          <cell r="B228">
            <v>1</v>
          </cell>
        </row>
        <row r="229">
          <cell r="B229">
            <v>1</v>
          </cell>
        </row>
        <row r="230">
          <cell r="B230">
            <v>1</v>
          </cell>
        </row>
        <row r="231">
          <cell r="B231">
            <v>1</v>
          </cell>
        </row>
        <row r="232">
          <cell r="B232">
            <v>1</v>
          </cell>
        </row>
        <row r="233">
          <cell r="B233">
            <v>1</v>
          </cell>
        </row>
        <row r="234">
          <cell r="B234">
            <v>1</v>
          </cell>
        </row>
        <row r="235">
          <cell r="B235">
            <v>1</v>
          </cell>
        </row>
        <row r="236">
          <cell r="B236">
            <v>1</v>
          </cell>
        </row>
        <row r="237">
          <cell r="B237">
            <v>1</v>
          </cell>
        </row>
        <row r="238">
          <cell r="B238">
            <v>1</v>
          </cell>
        </row>
        <row r="239">
          <cell r="B239">
            <v>1</v>
          </cell>
        </row>
        <row r="240">
          <cell r="B240">
            <v>1</v>
          </cell>
        </row>
        <row r="241">
          <cell r="B241">
            <v>1</v>
          </cell>
        </row>
        <row r="242">
          <cell r="B242">
            <v>1</v>
          </cell>
        </row>
        <row r="243">
          <cell r="B243">
            <v>1</v>
          </cell>
        </row>
        <row r="244">
          <cell r="B244">
            <v>1</v>
          </cell>
        </row>
        <row r="245">
          <cell r="B245">
            <v>1</v>
          </cell>
        </row>
        <row r="246">
          <cell r="B246">
            <v>1</v>
          </cell>
        </row>
        <row r="247">
          <cell r="B247">
            <v>1</v>
          </cell>
        </row>
        <row r="248">
          <cell r="B248">
            <v>1</v>
          </cell>
        </row>
        <row r="249">
          <cell r="B249">
            <v>1</v>
          </cell>
        </row>
        <row r="250">
          <cell r="B250">
            <v>1</v>
          </cell>
        </row>
      </sheetData>
      <sheetData sheetId="21"/>
      <sheetData sheetId="22">
        <row r="3">
          <cell r="F3" t="str">
            <v/>
          </cell>
          <cell r="G3" t="str">
            <v/>
          </cell>
          <cell r="H3" t="str">
            <v/>
          </cell>
          <cell r="Q3" t="str">
            <v/>
          </cell>
        </row>
        <row r="4">
          <cell r="A4" t="str">
            <v>변두섭</v>
          </cell>
          <cell r="B4" t="str">
            <v>대전시 서구 변동 18-26</v>
          </cell>
          <cell r="C4" t="str">
            <v>671110-1448820</v>
          </cell>
          <cell r="D4" t="str">
            <v>010-8004-3276</v>
          </cell>
          <cell r="E4">
            <v>308000</v>
          </cell>
          <cell r="F4" t="str">
            <v>남</v>
          </cell>
          <cell r="G4">
            <v>60</v>
          </cell>
          <cell r="H4" t="str">
            <v>-</v>
          </cell>
          <cell r="J4" t="str">
            <v>소장</v>
          </cell>
          <cell r="K4" t="str">
            <v>소장</v>
          </cell>
          <cell r="L4" t="str">
            <v>356-0075-3393-83</v>
          </cell>
          <cell r="M4" t="str">
            <v>농협은행</v>
          </cell>
          <cell r="N4" t="str">
            <v>변두섭</v>
          </cell>
          <cell r="O4">
            <v>41453</v>
          </cell>
          <cell r="Q4" t="str">
            <v/>
          </cell>
          <cell r="S4">
            <v>45859</v>
          </cell>
          <cell r="T4">
            <v>45859</v>
          </cell>
          <cell r="V4" t="str">
            <v>형틀목공</v>
          </cell>
        </row>
        <row r="5">
          <cell r="A5" t="str">
            <v>이성식</v>
          </cell>
          <cell r="B5" t="str">
            <v>경기도 화성시 감배산로30,101동502호</v>
          </cell>
          <cell r="C5" t="str">
            <v>710331-1632113</v>
          </cell>
          <cell r="D5" t="str">
            <v>010-9432-5495</v>
          </cell>
          <cell r="E5">
            <v>270000</v>
          </cell>
          <cell r="F5" t="str">
            <v>남</v>
          </cell>
          <cell r="G5">
            <v>56</v>
          </cell>
          <cell r="H5" t="str">
            <v>-</v>
          </cell>
          <cell r="J5" t="str">
            <v>관리</v>
          </cell>
          <cell r="K5" t="str">
            <v>공사부장</v>
          </cell>
          <cell r="L5" t="str">
            <v>629-02-380176</v>
          </cell>
          <cell r="M5" t="str">
            <v>농협은행</v>
          </cell>
          <cell r="N5" t="str">
            <v>이성식</v>
          </cell>
          <cell r="O5">
            <v>41209</v>
          </cell>
          <cell r="S5">
            <v>45873</v>
          </cell>
          <cell r="T5">
            <v>45873</v>
          </cell>
          <cell r="V5" t="str">
            <v>형틀목공</v>
          </cell>
        </row>
        <row r="6">
          <cell r="F6" t="str">
            <v/>
          </cell>
          <cell r="G6" t="str">
            <v/>
          </cell>
          <cell r="H6" t="str">
            <v/>
          </cell>
          <cell r="M6" t="str">
            <v/>
          </cell>
          <cell r="Q6" t="str">
            <v/>
          </cell>
        </row>
        <row r="7">
          <cell r="A7" t="str">
            <v>홍성원</v>
          </cell>
          <cell r="B7" t="str">
            <v>대전시 서구 정림로55,109-803</v>
          </cell>
          <cell r="C7" t="str">
            <v>580915-1471849</v>
          </cell>
          <cell r="D7" t="str">
            <v>010-5423-3494</v>
          </cell>
          <cell r="E7">
            <v>270000</v>
          </cell>
          <cell r="F7" t="str">
            <v>남</v>
          </cell>
          <cell r="G7">
            <v>69</v>
          </cell>
          <cell r="H7" t="str">
            <v>-</v>
          </cell>
          <cell r="J7" t="str">
            <v>관리</v>
          </cell>
          <cell r="K7" t="str">
            <v>공사차장</v>
          </cell>
          <cell r="L7" t="str">
            <v>453084-56-019377</v>
          </cell>
          <cell r="M7" t="str">
            <v>농협은행</v>
          </cell>
          <cell r="N7" t="str">
            <v>홍성원</v>
          </cell>
          <cell r="O7">
            <v>41383</v>
          </cell>
          <cell r="Q7" t="str">
            <v/>
          </cell>
          <cell r="S7">
            <v>45892</v>
          </cell>
          <cell r="T7">
            <v>45892</v>
          </cell>
          <cell r="V7" t="str">
            <v>형틀목공</v>
          </cell>
        </row>
        <row r="8">
          <cell r="E8">
            <v>270000</v>
          </cell>
          <cell r="F8" t="str">
            <v/>
          </cell>
          <cell r="G8" t="str">
            <v/>
          </cell>
          <cell r="H8" t="str">
            <v/>
          </cell>
          <cell r="J8" t="str">
            <v>관리</v>
          </cell>
          <cell r="K8" t="str">
            <v>공사차장</v>
          </cell>
          <cell r="L8" t="str">
            <v>453084-56-019377</v>
          </cell>
          <cell r="M8" t="str">
            <v>농협은행</v>
          </cell>
          <cell r="N8" t="str">
            <v>홍성원</v>
          </cell>
          <cell r="O8">
            <v>41383</v>
          </cell>
          <cell r="Q8" t="str">
            <v/>
          </cell>
          <cell r="S8">
            <v>45892</v>
          </cell>
          <cell r="T8">
            <v>45892</v>
          </cell>
          <cell r="V8" t="str">
            <v>형틀목공</v>
          </cell>
        </row>
        <row r="9">
          <cell r="A9" t="str">
            <v>이헌근</v>
          </cell>
          <cell r="B9" t="str">
            <v>서울특별시 서대문구 창천동57-40</v>
          </cell>
          <cell r="C9" t="str">
            <v>691210-1814615</v>
          </cell>
          <cell r="D9" t="str">
            <v>010-2762-4570</v>
          </cell>
          <cell r="E9">
            <v>212000</v>
          </cell>
          <cell r="F9" t="str">
            <v>남</v>
          </cell>
          <cell r="G9">
            <v>58</v>
          </cell>
          <cell r="H9" t="str">
            <v>-</v>
          </cell>
          <cell r="J9" t="str">
            <v>관리</v>
          </cell>
          <cell r="K9" t="str">
            <v>안전부장</v>
          </cell>
          <cell r="L9" t="str">
            <v>824602-01-196768</v>
          </cell>
          <cell r="M9" t="str">
            <v>국민은행</v>
          </cell>
          <cell r="N9" t="str">
            <v>이헌근</v>
          </cell>
          <cell r="S9">
            <v>45879</v>
          </cell>
          <cell r="T9">
            <v>45879</v>
          </cell>
          <cell r="V9" t="str">
            <v>형틀목공</v>
          </cell>
        </row>
        <row r="10">
          <cell r="A10" t="str">
            <v>서기종</v>
          </cell>
          <cell r="B10" t="str">
            <v>경기도 안양시 만안구 박달동924</v>
          </cell>
          <cell r="C10" t="str">
            <v>711002-1581511</v>
          </cell>
          <cell r="D10" t="str">
            <v>010-8586-7554</v>
          </cell>
          <cell r="E10">
            <v>224350</v>
          </cell>
          <cell r="F10" t="str">
            <v>남</v>
          </cell>
          <cell r="G10">
            <v>56</v>
          </cell>
          <cell r="H10" t="str">
            <v>-</v>
          </cell>
          <cell r="J10" t="str">
            <v>관리</v>
          </cell>
          <cell r="K10" t="str">
            <v>부장</v>
          </cell>
          <cell r="L10" t="str">
            <v>923802-00-015059</v>
          </cell>
          <cell r="M10" t="str">
            <v>국민은행</v>
          </cell>
          <cell r="N10" t="str">
            <v>서기종</v>
          </cell>
          <cell r="O10">
            <v>41093</v>
          </cell>
          <cell r="Q10" t="str">
            <v/>
          </cell>
          <cell r="S10">
            <v>45824</v>
          </cell>
          <cell r="T10">
            <v>45824</v>
          </cell>
          <cell r="V10" t="str">
            <v>형틀목공</v>
          </cell>
        </row>
        <row r="11">
          <cell r="A11" t="str">
            <v>이상우</v>
          </cell>
          <cell r="B11" t="str">
            <v>경남 창원시 진해구 진해대로988번길15</v>
          </cell>
          <cell r="C11" t="str">
            <v>731128-1823117</v>
          </cell>
          <cell r="D11" t="str">
            <v>010-8515-4745</v>
          </cell>
          <cell r="E11">
            <v>200000</v>
          </cell>
          <cell r="F11" t="str">
            <v>남</v>
          </cell>
          <cell r="G11">
            <v>54</v>
          </cell>
          <cell r="H11" t="str">
            <v>-</v>
          </cell>
          <cell r="J11" t="str">
            <v>직영</v>
          </cell>
          <cell r="K11" t="str">
            <v>반장</v>
          </cell>
          <cell r="L11" t="str">
            <v>613810-02-147488</v>
          </cell>
          <cell r="M11" t="str">
            <v>우체국</v>
          </cell>
          <cell r="N11" t="str">
            <v>이상우</v>
          </cell>
          <cell r="O11">
            <v>42824</v>
          </cell>
          <cell r="Q11" t="str">
            <v/>
          </cell>
          <cell r="S11">
            <v>45887</v>
          </cell>
          <cell r="T11">
            <v>45887</v>
          </cell>
          <cell r="V11" t="str">
            <v>형틀목공</v>
          </cell>
        </row>
        <row r="12">
          <cell r="F12" t="str">
            <v/>
          </cell>
          <cell r="G12" t="str">
            <v/>
          </cell>
          <cell r="H12" t="str">
            <v/>
          </cell>
          <cell r="M12" t="str">
            <v/>
          </cell>
          <cell r="Q12" t="str">
            <v/>
          </cell>
        </row>
        <row r="13">
          <cell r="A13" t="str">
            <v>김표</v>
          </cell>
          <cell r="B13" t="str">
            <v>서울특별시 강서구 화곡로72길62,103동1001호</v>
          </cell>
          <cell r="C13" t="str">
            <v>670309-5100993</v>
          </cell>
          <cell r="D13" t="str">
            <v>010-6428-3760</v>
          </cell>
          <cell r="E13">
            <v>250000</v>
          </cell>
          <cell r="F13" t="str">
            <v>남</v>
          </cell>
          <cell r="G13">
            <v>60</v>
          </cell>
          <cell r="H13" t="str">
            <v>외국인</v>
          </cell>
          <cell r="I13" t="str">
            <v>JIN BIAO</v>
          </cell>
          <cell r="J13" t="str">
            <v>형틀목공</v>
          </cell>
          <cell r="K13" t="str">
            <v>김표팀</v>
          </cell>
          <cell r="L13" t="str">
            <v>110-308-192133</v>
          </cell>
          <cell r="M13" t="str">
            <v>신한은행</v>
          </cell>
          <cell r="N13" t="str">
            <v>JINBIAO</v>
          </cell>
          <cell r="O13">
            <v>41039</v>
          </cell>
          <cell r="P13" t="str">
            <v>F5</v>
          </cell>
          <cell r="Q13">
            <v>47749</v>
          </cell>
          <cell r="S13">
            <v>45931</v>
          </cell>
          <cell r="T13">
            <v>45931</v>
          </cell>
          <cell r="V13" t="str">
            <v>형틀목공</v>
          </cell>
        </row>
        <row r="14">
          <cell r="A14" t="str">
            <v>김표1</v>
          </cell>
          <cell r="B14" t="str">
            <v>김표: 본인노임 // 김표1:팀원노임</v>
          </cell>
          <cell r="C14" t="str">
            <v>670309-5100993</v>
          </cell>
          <cell r="D14" t="str">
            <v>010-6428-3760</v>
          </cell>
          <cell r="E14">
            <v>250000</v>
          </cell>
          <cell r="F14" t="str">
            <v>남</v>
          </cell>
          <cell r="G14">
            <v>60</v>
          </cell>
          <cell r="H14" t="str">
            <v>외국인</v>
          </cell>
          <cell r="I14" t="str">
            <v>JIN BIAO</v>
          </cell>
          <cell r="J14" t="str">
            <v>형틀목공</v>
          </cell>
          <cell r="K14" t="str">
            <v>김표팀</v>
          </cell>
          <cell r="L14" t="str">
            <v>1002-130-294329</v>
          </cell>
          <cell r="M14" t="str">
            <v>우리은행</v>
          </cell>
          <cell r="N14" t="str">
            <v>JINBIAO</v>
          </cell>
          <cell r="O14">
            <v>41039</v>
          </cell>
          <cell r="P14" t="str">
            <v>F5</v>
          </cell>
          <cell r="Q14">
            <v>47749</v>
          </cell>
          <cell r="S14">
            <v>45931</v>
          </cell>
          <cell r="T14">
            <v>45931</v>
          </cell>
          <cell r="V14" t="str">
            <v>형틀목공</v>
          </cell>
        </row>
        <row r="15">
          <cell r="F15" t="str">
            <v/>
          </cell>
          <cell r="G15" t="str">
            <v/>
          </cell>
          <cell r="H15" t="str">
            <v/>
          </cell>
          <cell r="Q15" t="str">
            <v/>
          </cell>
        </row>
        <row r="16">
          <cell r="A16" t="str">
            <v>이영상</v>
          </cell>
          <cell r="B16" t="str">
            <v>전남 여수시 돌산읍 대복길37-7</v>
          </cell>
          <cell r="C16" t="str">
            <v>740806-1632117</v>
          </cell>
          <cell r="D16" t="str">
            <v>010-7730-7486</v>
          </cell>
          <cell r="E16">
            <v>210000</v>
          </cell>
          <cell r="F16" t="str">
            <v>남</v>
          </cell>
          <cell r="G16">
            <v>53</v>
          </cell>
          <cell r="H16" t="str">
            <v>-</v>
          </cell>
          <cell r="J16" t="str">
            <v>직영</v>
          </cell>
          <cell r="K16" t="str">
            <v>목수</v>
          </cell>
          <cell r="L16" t="str">
            <v>781002-01-004302</v>
          </cell>
          <cell r="M16" t="str">
            <v>국민은행</v>
          </cell>
          <cell r="N16" t="str">
            <v>이영상</v>
          </cell>
          <cell r="O16">
            <v>41209</v>
          </cell>
          <cell r="S16">
            <v>45888</v>
          </cell>
          <cell r="T16">
            <v>45888</v>
          </cell>
          <cell r="V16" t="str">
            <v>형틀목공</v>
          </cell>
        </row>
        <row r="17">
          <cell r="A17" t="str">
            <v>김영민</v>
          </cell>
          <cell r="B17" t="str">
            <v>수원시 장안구 대평로39번길8,231-1504</v>
          </cell>
          <cell r="C17" t="str">
            <v>590601-1632118</v>
          </cell>
          <cell r="D17" t="str">
            <v>010-9310-7644</v>
          </cell>
          <cell r="E17">
            <v>210000</v>
          </cell>
          <cell r="F17" t="str">
            <v>남</v>
          </cell>
          <cell r="G17">
            <v>68</v>
          </cell>
          <cell r="H17" t="str">
            <v>-</v>
          </cell>
          <cell r="J17" t="str">
            <v>직영</v>
          </cell>
          <cell r="K17" t="str">
            <v>목수</v>
          </cell>
          <cell r="L17" t="str">
            <v>352-1003-5283-13</v>
          </cell>
          <cell r="M17" t="str">
            <v>농협은행</v>
          </cell>
          <cell r="N17" t="str">
            <v>김영민</v>
          </cell>
          <cell r="O17">
            <v>41209</v>
          </cell>
          <cell r="Q17" t="str">
            <v/>
          </cell>
          <cell r="S17">
            <v>45903</v>
          </cell>
          <cell r="T17">
            <v>45903</v>
          </cell>
          <cell r="V17" t="str">
            <v>형틀목공</v>
          </cell>
        </row>
        <row r="18">
          <cell r="A18" t="str">
            <v>정혜경</v>
          </cell>
          <cell r="B18" t="str">
            <v>서울시 금천구 시흥대로96길41-1,101호</v>
          </cell>
          <cell r="C18" t="str">
            <v>700219-2065514</v>
          </cell>
          <cell r="D18" t="str">
            <v>010-9319-6828</v>
          </cell>
          <cell r="E18">
            <v>180000</v>
          </cell>
          <cell r="F18" t="str">
            <v>여</v>
          </cell>
          <cell r="G18">
            <v>57</v>
          </cell>
          <cell r="H18" t="str">
            <v>-</v>
          </cell>
          <cell r="J18" t="str">
            <v>직영</v>
          </cell>
          <cell r="K18" t="str">
            <v>목수</v>
          </cell>
          <cell r="L18" t="str">
            <v>3020-717-5555-11</v>
          </cell>
          <cell r="M18" t="str">
            <v>농협은행</v>
          </cell>
          <cell r="N18" t="str">
            <v>정혜경</v>
          </cell>
          <cell r="O18">
            <v>45030</v>
          </cell>
          <cell r="Q18" t="str">
            <v/>
          </cell>
          <cell r="S18">
            <v>45890</v>
          </cell>
          <cell r="T18">
            <v>45890</v>
          </cell>
          <cell r="V18" t="str">
            <v>형틀목공</v>
          </cell>
        </row>
        <row r="19">
          <cell r="F19" t="str">
            <v/>
          </cell>
          <cell r="G19" t="str">
            <v/>
          </cell>
          <cell r="H19" t="str">
            <v/>
          </cell>
          <cell r="M19" t="str">
            <v/>
          </cell>
          <cell r="Q19" t="str">
            <v/>
          </cell>
        </row>
        <row r="20">
          <cell r="A20" t="str">
            <v>문창식</v>
          </cell>
          <cell r="B20" t="str">
            <v>서울시 동대문구 무학로26길30,2-804호</v>
          </cell>
          <cell r="C20" t="str">
            <v>740117-1628614</v>
          </cell>
          <cell r="D20" t="str">
            <v>010-3669-8614</v>
          </cell>
          <cell r="E20">
            <v>150000</v>
          </cell>
          <cell r="F20" t="str">
            <v>남</v>
          </cell>
          <cell r="G20">
            <v>53</v>
          </cell>
          <cell r="H20" t="str">
            <v>-</v>
          </cell>
          <cell r="J20" t="str">
            <v>직영</v>
          </cell>
          <cell r="K20" t="str">
            <v>보통인부</v>
          </cell>
          <cell r="L20" t="str">
            <v>159-910919-43707</v>
          </cell>
          <cell r="M20" t="str">
            <v>하나은행</v>
          </cell>
          <cell r="N20" t="str">
            <v>문창식</v>
          </cell>
          <cell r="O20">
            <v>45064</v>
          </cell>
          <cell r="Q20" t="str">
            <v/>
          </cell>
          <cell r="S20">
            <v>45901</v>
          </cell>
          <cell r="T20">
            <v>45901</v>
          </cell>
          <cell r="V20" t="str">
            <v>보통인부</v>
          </cell>
        </row>
        <row r="21">
          <cell r="A21" t="str">
            <v>이의권</v>
          </cell>
          <cell r="B21" t="str">
            <v>서울시 성북구 아리랑로6길4</v>
          </cell>
          <cell r="C21" t="str">
            <v>760317-1024118</v>
          </cell>
          <cell r="D21" t="str">
            <v>010-5946-3738</v>
          </cell>
          <cell r="E21">
            <v>150000</v>
          </cell>
          <cell r="F21" t="str">
            <v>남</v>
          </cell>
          <cell r="G21">
            <v>51</v>
          </cell>
          <cell r="H21" t="str">
            <v>-</v>
          </cell>
          <cell r="J21" t="str">
            <v>직영</v>
          </cell>
          <cell r="K21" t="str">
            <v>보통인부</v>
          </cell>
          <cell r="L21" t="str">
            <v>100-206-858952</v>
          </cell>
          <cell r="M21" t="str">
            <v>케이뱅크</v>
          </cell>
          <cell r="N21" t="str">
            <v>이의권</v>
          </cell>
          <cell r="O21">
            <v>43656</v>
          </cell>
          <cell r="Q21" t="str">
            <v/>
          </cell>
          <cell r="S21">
            <v>45901</v>
          </cell>
          <cell r="T21">
            <v>45901</v>
          </cell>
          <cell r="V21" t="str">
            <v>보통인부</v>
          </cell>
        </row>
        <row r="22">
          <cell r="A22" t="str">
            <v>정태선</v>
          </cell>
          <cell r="B22" t="str">
            <v>고양시 덕양구 호수로11번길100</v>
          </cell>
          <cell r="C22" t="str">
            <v>630809-1817618</v>
          </cell>
          <cell r="D22" t="str">
            <v>010-5603-5644</v>
          </cell>
          <cell r="E22">
            <v>146160</v>
          </cell>
          <cell r="F22" t="str">
            <v>남</v>
          </cell>
          <cell r="G22">
            <v>64</v>
          </cell>
          <cell r="H22" t="str">
            <v>-</v>
          </cell>
          <cell r="J22" t="str">
            <v>직영</v>
          </cell>
          <cell r="K22" t="str">
            <v>보통인부</v>
          </cell>
          <cell r="L22" t="str">
            <v>352-1406-4338-03</v>
          </cell>
          <cell r="M22" t="str">
            <v>농협은행</v>
          </cell>
          <cell r="N22" t="str">
            <v>정태선</v>
          </cell>
          <cell r="O22">
            <v>41401</v>
          </cell>
          <cell r="Q22" t="str">
            <v/>
          </cell>
          <cell r="S22">
            <v>45904</v>
          </cell>
          <cell r="T22">
            <v>45904</v>
          </cell>
          <cell r="V22" t="str">
            <v>보통인부</v>
          </cell>
        </row>
        <row r="23">
          <cell r="A23" t="str">
            <v>정태선2</v>
          </cell>
          <cell r="L23" t="str">
            <v>356-1660-5510-93</v>
          </cell>
          <cell r="M23" t="str">
            <v>농협은행</v>
          </cell>
          <cell r="N23" t="str">
            <v>이영희정태선처</v>
          </cell>
        </row>
        <row r="24">
          <cell r="A24" t="str">
            <v>권중호</v>
          </cell>
          <cell r="B24" t="str">
            <v>경북 의성군 신평면 교안2길36</v>
          </cell>
          <cell r="C24" t="str">
            <v>640310-1773228</v>
          </cell>
          <cell r="D24" t="str">
            <v>010-9272-3255</v>
          </cell>
          <cell r="E24">
            <v>150000</v>
          </cell>
          <cell r="F24" t="str">
            <v>남</v>
          </cell>
          <cell r="G24">
            <v>63</v>
          </cell>
          <cell r="H24" t="str">
            <v>-</v>
          </cell>
          <cell r="J24" t="str">
            <v>직영</v>
          </cell>
          <cell r="K24" t="str">
            <v>보통인부</v>
          </cell>
          <cell r="L24" t="str">
            <v>110-183-343758</v>
          </cell>
          <cell r="M24" t="str">
            <v>신한은행</v>
          </cell>
          <cell r="N24" t="str">
            <v>권중호</v>
          </cell>
          <cell r="O24">
            <v>41698</v>
          </cell>
          <cell r="Q24" t="str">
            <v/>
          </cell>
          <cell r="S24">
            <v>45922</v>
          </cell>
          <cell r="T24">
            <v>45922</v>
          </cell>
          <cell r="V24" t="str">
            <v>보통인부</v>
          </cell>
        </row>
        <row r="25">
          <cell r="A25" t="str">
            <v>이동열</v>
          </cell>
          <cell r="B25" t="str">
            <v>경북 경주시 광산길153-46</v>
          </cell>
          <cell r="C25" t="str">
            <v>731117-1711114</v>
          </cell>
          <cell r="D25" t="str">
            <v>010-4908-7126</v>
          </cell>
          <cell r="E25">
            <v>150000</v>
          </cell>
          <cell r="F25" t="str">
            <v>남</v>
          </cell>
          <cell r="G25">
            <v>54</v>
          </cell>
          <cell r="H25" t="str">
            <v>-</v>
          </cell>
          <cell r="J25" t="str">
            <v>직영</v>
          </cell>
          <cell r="K25" t="str">
            <v>보통인부</v>
          </cell>
          <cell r="L25" t="str">
            <v>352-1869-2289-03</v>
          </cell>
          <cell r="M25" t="str">
            <v>농협은행</v>
          </cell>
          <cell r="N25" t="str">
            <v>이동열</v>
          </cell>
          <cell r="O25">
            <v>42730</v>
          </cell>
          <cell r="Q25" t="str">
            <v/>
          </cell>
          <cell r="R25">
            <v>45940</v>
          </cell>
          <cell r="S25">
            <v>45940</v>
          </cell>
          <cell r="T25">
            <v>45940</v>
          </cell>
          <cell r="V25" t="str">
            <v>보통인부</v>
          </cell>
        </row>
        <row r="26">
          <cell r="A26" t="str">
            <v>최돈화</v>
          </cell>
          <cell r="B26" t="str">
            <v>강원 원주시 남원로 492 현대105-105</v>
          </cell>
          <cell r="C26" t="str">
            <v>810415-2326410</v>
          </cell>
          <cell r="D26" t="str">
            <v>010-2247-7500</v>
          </cell>
          <cell r="E26">
            <v>114000</v>
          </cell>
          <cell r="F26" t="str">
            <v>여</v>
          </cell>
          <cell r="G26">
            <v>46</v>
          </cell>
          <cell r="H26" t="str">
            <v>-</v>
          </cell>
          <cell r="J26" t="str">
            <v>직영</v>
          </cell>
          <cell r="K26" t="str">
            <v>보통인부</v>
          </cell>
          <cell r="L26" t="str">
            <v>218-02-088993</v>
          </cell>
          <cell r="M26" t="str">
            <v>농협은행</v>
          </cell>
          <cell r="N26" t="str">
            <v>최돈화</v>
          </cell>
          <cell r="Q26" t="str">
            <v/>
          </cell>
          <cell r="R26">
            <v>45946</v>
          </cell>
          <cell r="S26">
            <v>45946</v>
          </cell>
          <cell r="T26">
            <v>45946</v>
          </cell>
          <cell r="V26" t="str">
            <v>보통인부</v>
          </cell>
        </row>
        <row r="27">
          <cell r="A27" t="str">
            <v>양덕춘</v>
          </cell>
          <cell r="B27" t="str">
            <v>충남 천안시 동남구 문화로20-3</v>
          </cell>
          <cell r="C27" t="str">
            <v>640421-5102191</v>
          </cell>
          <cell r="D27" t="str">
            <v>010-5791-0654</v>
          </cell>
          <cell r="E27">
            <v>150000</v>
          </cell>
          <cell r="F27" t="str">
            <v>남</v>
          </cell>
          <cell r="G27">
            <v>63</v>
          </cell>
          <cell r="H27" t="str">
            <v>외국인</v>
          </cell>
          <cell r="I27" t="str">
            <v>YANG DECHUN</v>
          </cell>
          <cell r="J27" t="str">
            <v>형틀</v>
          </cell>
          <cell r="K27" t="str">
            <v>직영조공</v>
          </cell>
          <cell r="L27" t="str">
            <v>133-62-410001</v>
          </cell>
          <cell r="M27" t="str">
            <v>수협은행</v>
          </cell>
          <cell r="N27" t="str">
            <v>YANG DECHUN</v>
          </cell>
          <cell r="O27" t="str">
            <v>2021.05.24</v>
          </cell>
          <cell r="P27" t="str">
            <v>방문취업H2</v>
          </cell>
          <cell r="Q27">
            <v>47032</v>
          </cell>
          <cell r="R27">
            <v>45960</v>
          </cell>
          <cell r="S27">
            <v>45960</v>
          </cell>
          <cell r="T27">
            <v>45960</v>
          </cell>
          <cell r="V27" t="str">
            <v>보통인부</v>
          </cell>
        </row>
        <row r="28">
          <cell r="A28" t="str">
            <v>허택일</v>
          </cell>
          <cell r="B28" t="str">
            <v>경기도 시흥시 큰솔공원로33번길5</v>
          </cell>
          <cell r="C28" t="str">
            <v>640521-5820011</v>
          </cell>
          <cell r="D28" t="str">
            <v>010-3977-5551</v>
          </cell>
          <cell r="E28">
            <v>150000</v>
          </cell>
          <cell r="F28" t="str">
            <v>남</v>
          </cell>
          <cell r="G28">
            <v>63</v>
          </cell>
          <cell r="H28" t="str">
            <v>외국인</v>
          </cell>
          <cell r="I28" t="str">
            <v>XU ZERI</v>
          </cell>
          <cell r="J28" t="str">
            <v>용역</v>
          </cell>
          <cell r="K28" t="str">
            <v>직영조공</v>
          </cell>
          <cell r="L28" t="str">
            <v>784501-00-218078</v>
          </cell>
          <cell r="M28" t="str">
            <v>국민은행</v>
          </cell>
          <cell r="N28" t="str">
            <v>XU ZERI</v>
          </cell>
          <cell r="O28">
            <v>44088</v>
          </cell>
          <cell r="P28" t="str">
            <v>방문취업H-2</v>
          </cell>
          <cell r="Q28">
            <v>46070</v>
          </cell>
          <cell r="R28">
            <v>45964</v>
          </cell>
          <cell r="S28">
            <v>45964</v>
          </cell>
          <cell r="T28">
            <v>45964</v>
          </cell>
          <cell r="V28" t="str">
            <v>보통인부</v>
          </cell>
          <cell r="W28" t="str">
            <v>중국</v>
          </cell>
        </row>
        <row r="29">
          <cell r="A29" t="str">
            <v>김복남</v>
          </cell>
          <cell r="B29" t="str">
            <v>경기 시흥 오동마을로45번길 17-9,203호</v>
          </cell>
          <cell r="C29" t="str">
            <v>760724-5180597</v>
          </cell>
          <cell r="D29" t="str">
            <v>010-8286-7593</v>
          </cell>
          <cell r="E29">
            <v>160000</v>
          </cell>
          <cell r="F29" t="str">
            <v>남</v>
          </cell>
          <cell r="G29">
            <v>51</v>
          </cell>
          <cell r="H29" t="str">
            <v>외국인</v>
          </cell>
          <cell r="I29" t="str">
            <v>JIN FUNAN</v>
          </cell>
          <cell r="J29" t="str">
            <v>직영</v>
          </cell>
          <cell r="K29" t="str">
            <v>보통인부</v>
          </cell>
          <cell r="L29" t="str">
            <v>3510476356713</v>
          </cell>
          <cell r="M29" t="str">
            <v>농협은행</v>
          </cell>
          <cell r="N29" t="str">
            <v>JIN FUNAN</v>
          </cell>
          <cell r="O29">
            <v>42472</v>
          </cell>
          <cell r="P29" t="str">
            <v>재외동포F4</v>
          </cell>
          <cell r="Q29">
            <v>46876</v>
          </cell>
          <cell r="R29">
            <v>46028</v>
          </cell>
          <cell r="S29">
            <v>46028</v>
          </cell>
          <cell r="T29">
            <v>46028</v>
          </cell>
          <cell r="V29" t="str">
            <v>보통인부</v>
          </cell>
          <cell r="W29" t="str">
            <v>중국</v>
          </cell>
        </row>
        <row r="30">
          <cell r="F30" t="str">
            <v/>
          </cell>
          <cell r="G30" t="str">
            <v/>
          </cell>
          <cell r="H30" t="str">
            <v/>
          </cell>
          <cell r="Q30" t="str">
            <v/>
          </cell>
        </row>
        <row r="31">
          <cell r="A31" t="str">
            <v>박순화</v>
          </cell>
          <cell r="B31" t="str">
            <v>경기 안산 단원구 삼일로 154, 102-201</v>
          </cell>
          <cell r="C31" t="str">
            <v>670208-2079243</v>
          </cell>
          <cell r="D31" t="str">
            <v>010-6607-4610</v>
          </cell>
          <cell r="E31">
            <v>150000</v>
          </cell>
          <cell r="F31" t="str">
            <v>여</v>
          </cell>
          <cell r="G31">
            <v>60</v>
          </cell>
          <cell r="H31" t="str">
            <v>-</v>
          </cell>
          <cell r="J31" t="str">
            <v>직영</v>
          </cell>
          <cell r="K31" t="str">
            <v>정운수</v>
          </cell>
          <cell r="L31" t="str">
            <v>051002-04-112082</v>
          </cell>
          <cell r="M31" t="str">
            <v>국민은행</v>
          </cell>
          <cell r="N31" t="str">
            <v>박순화</v>
          </cell>
          <cell r="O31">
            <v>43229</v>
          </cell>
          <cell r="R31">
            <v>46085</v>
          </cell>
          <cell r="S31">
            <v>46062</v>
          </cell>
          <cell r="T31">
            <v>46062</v>
          </cell>
          <cell r="V31" t="str">
            <v>콘크리트공</v>
          </cell>
        </row>
        <row r="32">
          <cell r="A32" t="str">
            <v>박선화</v>
          </cell>
          <cell r="B32" t="str">
            <v>경기 시흥시 도일로 86-1</v>
          </cell>
          <cell r="C32" t="str">
            <v>650508-6900013</v>
          </cell>
          <cell r="D32" t="str">
            <v>010-5683-6558</v>
          </cell>
          <cell r="E32">
            <v>150000</v>
          </cell>
          <cell r="F32" t="str">
            <v>여</v>
          </cell>
          <cell r="G32">
            <v>62</v>
          </cell>
          <cell r="H32" t="str">
            <v>외국인</v>
          </cell>
          <cell r="I32" t="str">
            <v>PIAO XIANHUA</v>
          </cell>
          <cell r="J32" t="str">
            <v>직영</v>
          </cell>
          <cell r="K32" t="str">
            <v>정운수</v>
          </cell>
          <cell r="O32">
            <v>45034</v>
          </cell>
          <cell r="P32" t="str">
            <v>방문취업H2</v>
          </cell>
          <cell r="Q32">
            <v>46200</v>
          </cell>
          <cell r="R32">
            <v>46085</v>
          </cell>
          <cell r="S32">
            <v>46062</v>
          </cell>
          <cell r="T32">
            <v>46062</v>
          </cell>
          <cell r="V32" t="str">
            <v>콘크리트공</v>
          </cell>
          <cell r="W32" t="str">
            <v>중국</v>
          </cell>
        </row>
        <row r="33">
          <cell r="A33" t="str">
            <v>김무성</v>
          </cell>
          <cell r="B33" t="str">
            <v>경기 시흥시 도일로 86-1</v>
          </cell>
          <cell r="C33" t="str">
            <v>630404-5820067</v>
          </cell>
          <cell r="D33" t="str">
            <v>010-6868-6558</v>
          </cell>
          <cell r="E33">
            <v>150000</v>
          </cell>
          <cell r="F33" t="str">
            <v>남</v>
          </cell>
          <cell r="G33">
            <v>64</v>
          </cell>
          <cell r="H33" t="str">
            <v>외국인</v>
          </cell>
          <cell r="I33" t="str">
            <v>JIN WUXING</v>
          </cell>
          <cell r="J33" t="str">
            <v>직영</v>
          </cell>
          <cell r="K33" t="str">
            <v>정운수</v>
          </cell>
          <cell r="O33">
            <v>45034</v>
          </cell>
          <cell r="P33" t="str">
            <v>재외동포F4</v>
          </cell>
          <cell r="Q33">
            <v>46437</v>
          </cell>
          <cell r="R33">
            <v>46085</v>
          </cell>
          <cell r="S33">
            <v>46062</v>
          </cell>
          <cell r="T33">
            <v>46062</v>
          </cell>
          <cell r="V33" t="str">
            <v>콘크리트공</v>
          </cell>
          <cell r="W33" t="str">
            <v>중국</v>
          </cell>
        </row>
        <row r="34">
          <cell r="F34" t="str">
            <v/>
          </cell>
          <cell r="G34" t="str">
            <v/>
          </cell>
          <cell r="H34" t="str">
            <v/>
          </cell>
          <cell r="Q34" t="str">
            <v/>
          </cell>
        </row>
        <row r="35">
          <cell r="A35" t="str">
            <v>김종식</v>
          </cell>
          <cell r="B35" t="str">
            <v>서울 관악구 신길동 72길 29</v>
          </cell>
          <cell r="C35" t="str">
            <v>710204-1477911</v>
          </cell>
          <cell r="D35" t="str">
            <v>010-2908-9410</v>
          </cell>
          <cell r="E35">
            <v>300000</v>
          </cell>
          <cell r="F35" t="str">
            <v>남</v>
          </cell>
          <cell r="G35">
            <v>56</v>
          </cell>
          <cell r="H35" t="str">
            <v>-</v>
          </cell>
          <cell r="J35" t="str">
            <v>컷팅</v>
          </cell>
          <cell r="O35">
            <v>41470</v>
          </cell>
          <cell r="R35">
            <v>46178</v>
          </cell>
          <cell r="S35">
            <v>46178</v>
          </cell>
          <cell r="T35">
            <v>46178</v>
          </cell>
          <cell r="V35" t="str">
            <v>형틀목공</v>
          </cell>
        </row>
        <row r="36">
          <cell r="A36" t="str">
            <v>박승규</v>
          </cell>
          <cell r="B36" t="str">
            <v>서울 관악구 봉천동국회단지9길24, 2-202</v>
          </cell>
          <cell r="C36" t="str">
            <v>760210-1348919</v>
          </cell>
          <cell r="D36" t="str">
            <v>010-5772-3736</v>
          </cell>
          <cell r="E36">
            <v>300000</v>
          </cell>
          <cell r="F36" t="str">
            <v>남</v>
          </cell>
          <cell r="G36">
            <v>51</v>
          </cell>
          <cell r="H36" t="str">
            <v>-</v>
          </cell>
          <cell r="J36" t="str">
            <v>컷팅</v>
          </cell>
          <cell r="O36">
            <v>41918</v>
          </cell>
          <cell r="R36">
            <v>46178</v>
          </cell>
          <cell r="S36">
            <v>46178</v>
          </cell>
          <cell r="T36">
            <v>46178</v>
          </cell>
          <cell r="V36" t="str">
            <v>형틀목공</v>
          </cell>
        </row>
        <row r="37">
          <cell r="A37" t="str">
            <v>이남희</v>
          </cell>
          <cell r="B37" t="str">
            <v>경기 안산시 상록구 월피동492-1</v>
          </cell>
          <cell r="C37" t="str">
            <v>770211-1639727</v>
          </cell>
          <cell r="D37" t="str">
            <v>010-8721-9397</v>
          </cell>
          <cell r="E37">
            <v>300000</v>
          </cell>
          <cell r="F37" t="str">
            <v>남</v>
          </cell>
          <cell r="G37">
            <v>50</v>
          </cell>
          <cell r="H37" t="str">
            <v>-</v>
          </cell>
          <cell r="J37" t="str">
            <v>컷팅</v>
          </cell>
          <cell r="O37">
            <v>42459</v>
          </cell>
          <cell r="R37">
            <v>46178</v>
          </cell>
          <cell r="S37">
            <v>46178</v>
          </cell>
          <cell r="T37">
            <v>46178</v>
          </cell>
          <cell r="V37" t="str">
            <v>형틀목공</v>
          </cell>
        </row>
        <row r="38">
          <cell r="F38" t="str">
            <v/>
          </cell>
          <cell r="G38" t="str">
            <v/>
          </cell>
          <cell r="H38" t="str">
            <v/>
          </cell>
          <cell r="Q38" t="str">
            <v/>
          </cell>
        </row>
        <row r="39">
          <cell r="F39" t="str">
            <v/>
          </cell>
          <cell r="G39" t="str">
            <v/>
          </cell>
          <cell r="H39" t="str">
            <v/>
          </cell>
          <cell r="Q39" t="str">
            <v/>
          </cell>
        </row>
        <row r="40">
          <cell r="F40" t="str">
            <v/>
          </cell>
          <cell r="G40" t="str">
            <v/>
          </cell>
          <cell r="H40" t="str">
            <v/>
          </cell>
          <cell r="Q40" t="str">
            <v/>
          </cell>
        </row>
        <row r="41">
          <cell r="F41" t="str">
            <v/>
          </cell>
          <cell r="G41" t="str">
            <v/>
          </cell>
          <cell r="H41" t="str">
            <v/>
          </cell>
          <cell r="Q41" t="str">
            <v/>
          </cell>
        </row>
        <row r="42">
          <cell r="A42" t="str">
            <v>세대청소</v>
          </cell>
          <cell r="F42" t="str">
            <v/>
          </cell>
          <cell r="G42" t="str">
            <v/>
          </cell>
          <cell r="H42" t="str">
            <v/>
          </cell>
          <cell r="Q42" t="str">
            <v/>
          </cell>
        </row>
        <row r="43">
          <cell r="A43" t="str">
            <v>안현용</v>
          </cell>
          <cell r="B43" t="str">
            <v>경기 평택시 소사7로8, 114-1404</v>
          </cell>
          <cell r="C43" t="str">
            <v>720217-1683811</v>
          </cell>
          <cell r="D43" t="str">
            <v>010-7165-0511</v>
          </cell>
          <cell r="E43">
            <v>150000</v>
          </cell>
          <cell r="F43" t="str">
            <v>남</v>
          </cell>
          <cell r="G43">
            <v>55</v>
          </cell>
          <cell r="H43" t="str">
            <v>-</v>
          </cell>
          <cell r="J43" t="str">
            <v>세대청소</v>
          </cell>
          <cell r="K43" t="str">
            <v>한현용</v>
          </cell>
          <cell r="L43" t="str">
            <v>211-21053-9159</v>
          </cell>
          <cell r="M43" t="str">
            <v>국민은행</v>
          </cell>
          <cell r="N43" t="str">
            <v>안현용</v>
          </cell>
          <cell r="O43">
            <v>45428</v>
          </cell>
          <cell r="Q43" t="str">
            <v/>
          </cell>
          <cell r="R43">
            <v>46113</v>
          </cell>
          <cell r="S43">
            <v>46113</v>
          </cell>
          <cell r="T43">
            <v>46113</v>
          </cell>
          <cell r="V43" t="str">
            <v>보통인부</v>
          </cell>
        </row>
        <row r="44">
          <cell r="A44" t="str">
            <v>최혜순</v>
          </cell>
          <cell r="B44" t="str">
            <v>경기 평택시 비전4로 175, 702-2203</v>
          </cell>
          <cell r="C44" t="str">
            <v>710605-2226811</v>
          </cell>
          <cell r="D44" t="str">
            <v>010-9472-0217</v>
          </cell>
          <cell r="E44">
            <v>150000</v>
          </cell>
          <cell r="F44" t="str">
            <v>여</v>
          </cell>
          <cell r="G44">
            <v>56</v>
          </cell>
          <cell r="H44" t="str">
            <v>-</v>
          </cell>
          <cell r="J44" t="str">
            <v>세대청소</v>
          </cell>
          <cell r="K44" t="str">
            <v>한현용</v>
          </cell>
          <cell r="L44" t="str">
            <v>205-103521-31616</v>
          </cell>
          <cell r="M44" t="str">
            <v>농협은행</v>
          </cell>
          <cell r="N44" t="str">
            <v>최혜순</v>
          </cell>
          <cell r="O44">
            <v>45425</v>
          </cell>
          <cell r="Q44" t="str">
            <v/>
          </cell>
          <cell r="R44">
            <v>46113</v>
          </cell>
          <cell r="S44">
            <v>46113</v>
          </cell>
          <cell r="T44">
            <v>46113</v>
          </cell>
          <cell r="V44" t="str">
            <v>보통인부</v>
          </cell>
        </row>
        <row r="45">
          <cell r="A45" t="str">
            <v>파르비스</v>
          </cell>
          <cell r="B45" t="str">
            <v>원일로 172번지</v>
          </cell>
          <cell r="C45" t="str">
            <v>000906-5</v>
          </cell>
          <cell r="D45" t="str">
            <v>010-7397-9660</v>
          </cell>
          <cell r="E45">
            <v>140000</v>
          </cell>
          <cell r="F45" t="str">
            <v>남</v>
          </cell>
          <cell r="G45">
            <v>27</v>
          </cell>
          <cell r="H45" t="str">
            <v>외국인</v>
          </cell>
          <cell r="I45" t="str">
            <v>GANIEV PARVIZ</v>
          </cell>
          <cell r="J45" t="str">
            <v>세대청소</v>
          </cell>
          <cell r="K45" t="str">
            <v>영서인력</v>
          </cell>
          <cell r="O45">
            <v>45671</v>
          </cell>
          <cell r="R45">
            <v>46149</v>
          </cell>
          <cell r="S45">
            <v>46149</v>
          </cell>
          <cell r="T45">
            <v>46149</v>
          </cell>
          <cell r="U45">
            <v>674537734</v>
          </cell>
          <cell r="V45" t="str">
            <v>보통인부</v>
          </cell>
          <cell r="W45" t="str">
            <v>러시아</v>
          </cell>
        </row>
        <row r="46">
          <cell r="A46" t="str">
            <v>아지스</v>
          </cell>
          <cell r="C46" t="str">
            <v>971010-5</v>
          </cell>
          <cell r="D46" t="str">
            <v>010-3641-7812</v>
          </cell>
          <cell r="E46">
            <v>140000</v>
          </cell>
          <cell r="F46" t="str">
            <v>남</v>
          </cell>
          <cell r="G46">
            <v>30</v>
          </cell>
          <cell r="H46" t="str">
            <v>외국인</v>
          </cell>
          <cell r="I46" t="str">
            <v>ABDUL AZIS NURSEHA</v>
          </cell>
          <cell r="J46" t="str">
            <v>세대청소</v>
          </cell>
          <cell r="K46" t="str">
            <v>영서인력</v>
          </cell>
          <cell r="O46">
            <v>45529</v>
          </cell>
          <cell r="R46">
            <v>46197</v>
          </cell>
          <cell r="S46">
            <v>46197</v>
          </cell>
          <cell r="T46">
            <v>46197</v>
          </cell>
          <cell r="U46" t="str">
            <v>E7965747</v>
          </cell>
          <cell r="V46" t="str">
            <v>보통인부</v>
          </cell>
          <cell r="W46" t="str">
            <v>인도네시아</v>
          </cell>
        </row>
        <row r="47">
          <cell r="A47" t="str">
            <v>게르마</v>
          </cell>
          <cell r="C47" t="str">
            <v>990902-5</v>
          </cell>
          <cell r="D47" t="str">
            <v>010-6565-9909</v>
          </cell>
          <cell r="E47">
            <v>140000</v>
          </cell>
          <cell r="F47" t="str">
            <v>남</v>
          </cell>
          <cell r="G47">
            <v>28</v>
          </cell>
          <cell r="H47" t="str">
            <v>외국인</v>
          </cell>
          <cell r="I47" t="str">
            <v>FIRMANSYAH</v>
          </cell>
          <cell r="J47" t="str">
            <v>용역</v>
          </cell>
          <cell r="K47" t="str">
            <v>영서인력</v>
          </cell>
          <cell r="O47">
            <v>44304</v>
          </cell>
          <cell r="R47">
            <v>46199</v>
          </cell>
          <cell r="S47">
            <v>46199</v>
          </cell>
          <cell r="T47">
            <v>46199</v>
          </cell>
          <cell r="U47" t="str">
            <v>E3402566</v>
          </cell>
          <cell r="V47" t="str">
            <v>보통인부</v>
          </cell>
          <cell r="W47" t="str">
            <v>인도네시아</v>
          </cell>
        </row>
        <row r="48">
          <cell r="A48" t="str">
            <v>반하</v>
          </cell>
          <cell r="C48" t="str">
            <v>650220-5</v>
          </cell>
          <cell r="D48" t="str">
            <v>010-7687-0994</v>
          </cell>
          <cell r="E48">
            <v>140000</v>
          </cell>
          <cell r="F48" t="str">
            <v>남</v>
          </cell>
          <cell r="G48">
            <v>62</v>
          </cell>
          <cell r="H48" t="str">
            <v>외국인</v>
          </cell>
          <cell r="I48" t="str">
            <v>NGUYEN VAN HA</v>
          </cell>
          <cell r="J48" t="str">
            <v>용역</v>
          </cell>
          <cell r="K48" t="str">
            <v>영서인력</v>
          </cell>
          <cell r="L48" t="str">
            <v>1010-2735-4600</v>
          </cell>
          <cell r="M48" t="str">
            <v>수협은행</v>
          </cell>
          <cell r="N48" t="str">
            <v>(주)우민이엔지</v>
          </cell>
          <cell r="O48">
            <v>44140</v>
          </cell>
          <cell r="R48">
            <v>46206</v>
          </cell>
          <cell r="S48">
            <v>46206</v>
          </cell>
          <cell r="T48">
            <v>46206</v>
          </cell>
          <cell r="U48" t="str">
            <v>C4343750</v>
          </cell>
          <cell r="V48" t="str">
            <v>보통인부</v>
          </cell>
          <cell r="W48" t="str">
            <v>베트남</v>
          </cell>
        </row>
        <row r="49">
          <cell r="A49" t="str">
            <v>카몰이딘</v>
          </cell>
          <cell r="B49" t="str">
            <v>원주시 원일로 172번지</v>
          </cell>
          <cell r="C49" t="str">
            <v>980107-5</v>
          </cell>
          <cell r="D49" t="str">
            <v>010-6557-0107</v>
          </cell>
          <cell r="E49">
            <v>140000</v>
          </cell>
          <cell r="F49" t="str">
            <v>남</v>
          </cell>
          <cell r="G49">
            <v>29</v>
          </cell>
          <cell r="H49" t="str">
            <v>외국인</v>
          </cell>
          <cell r="I49" t="str">
            <v>SHOKIR JONOV KAMOLIDDIN</v>
          </cell>
          <cell r="J49" t="str">
            <v>세대청소</v>
          </cell>
          <cell r="K49" t="str">
            <v>영서인력</v>
          </cell>
          <cell r="L49" t="str">
            <v>1010-2735-4600</v>
          </cell>
          <cell r="M49" t="str">
            <v>수협은행</v>
          </cell>
          <cell r="N49" t="str">
            <v>(주)우민이엔지</v>
          </cell>
          <cell r="O49">
            <v>45406</v>
          </cell>
          <cell r="R49">
            <v>46207</v>
          </cell>
          <cell r="S49">
            <v>46207</v>
          </cell>
          <cell r="T49">
            <v>46207</v>
          </cell>
          <cell r="U49" t="str">
            <v>AE5244840</v>
          </cell>
          <cell r="V49" t="str">
            <v>보통인부</v>
          </cell>
          <cell r="W49" t="str">
            <v>우즈베키스탄</v>
          </cell>
        </row>
        <row r="50">
          <cell r="A50" t="str">
            <v>자로니</v>
          </cell>
          <cell r="B50" t="str">
            <v>원주시 원일로 172번지</v>
          </cell>
          <cell r="C50" t="str">
            <v>941216-5</v>
          </cell>
          <cell r="D50" t="str">
            <v>010-2918-6064</v>
          </cell>
          <cell r="E50">
            <v>140000</v>
          </cell>
          <cell r="F50" t="str">
            <v>남</v>
          </cell>
          <cell r="G50">
            <v>33</v>
          </cell>
          <cell r="H50" t="str">
            <v>외국인</v>
          </cell>
          <cell r="I50" t="str">
            <v>JAHRONI</v>
          </cell>
          <cell r="J50" t="str">
            <v>용역</v>
          </cell>
          <cell r="K50" t="str">
            <v>영서인력</v>
          </cell>
          <cell r="L50" t="str">
            <v>1010-2735-4600</v>
          </cell>
          <cell r="M50" t="str">
            <v>수협은행</v>
          </cell>
          <cell r="N50" t="str">
            <v>(주)우민이엔지</v>
          </cell>
          <cell r="O50">
            <v>46087</v>
          </cell>
          <cell r="R50">
            <v>46209</v>
          </cell>
          <cell r="S50">
            <v>46209</v>
          </cell>
          <cell r="T50">
            <v>46209</v>
          </cell>
          <cell r="U50" t="str">
            <v>X2973356</v>
          </cell>
          <cell r="V50" t="str">
            <v>보통인부</v>
          </cell>
          <cell r="W50" t="str">
            <v>인도네시아</v>
          </cell>
        </row>
        <row r="51">
          <cell r="A51" t="str">
            <v>보부르</v>
          </cell>
          <cell r="C51" t="str">
            <v>910224-5</v>
          </cell>
          <cell r="D51" t="str">
            <v>010-7297-2441</v>
          </cell>
          <cell r="E51">
            <v>140000</v>
          </cell>
          <cell r="F51" t="str">
            <v>남</v>
          </cell>
          <cell r="G51">
            <v>36</v>
          </cell>
          <cell r="H51" t="str">
            <v>외국인</v>
          </cell>
          <cell r="I51" t="str">
            <v>GOFUROV BOBURJON KHASAN UGLI</v>
          </cell>
          <cell r="J51" t="str">
            <v>용역</v>
          </cell>
          <cell r="K51" t="str">
            <v>영서인력</v>
          </cell>
          <cell r="L51" t="str">
            <v>1010-2735-4600</v>
          </cell>
          <cell r="M51" t="str">
            <v>수협은행</v>
          </cell>
          <cell r="N51" t="str">
            <v>(주)우민이엔지</v>
          </cell>
          <cell r="O51">
            <v>45859</v>
          </cell>
          <cell r="R51">
            <v>46210</v>
          </cell>
          <cell r="S51">
            <v>46210</v>
          </cell>
          <cell r="T51">
            <v>46210</v>
          </cell>
          <cell r="U51" t="str">
            <v>FA0360017</v>
          </cell>
          <cell r="V51" t="str">
            <v>보통인부</v>
          </cell>
          <cell r="W51" t="str">
            <v>우즈베키스탄</v>
          </cell>
        </row>
        <row r="52">
          <cell r="A52" t="str">
            <v>사이드코심</v>
          </cell>
          <cell r="C52" t="str">
            <v>980320-5</v>
          </cell>
          <cell r="D52" t="str">
            <v>010-9719-9229</v>
          </cell>
          <cell r="E52">
            <v>140000</v>
          </cell>
          <cell r="F52" t="str">
            <v>남</v>
          </cell>
          <cell r="G52">
            <v>29</v>
          </cell>
          <cell r="H52" t="str">
            <v>외국인</v>
          </cell>
          <cell r="I52" t="str">
            <v>KOSIMOV SAIDKOSIM</v>
          </cell>
          <cell r="J52" t="str">
            <v>용역</v>
          </cell>
          <cell r="K52" t="str">
            <v>영서인력</v>
          </cell>
          <cell r="L52" t="str">
            <v>1010-2735-4600</v>
          </cell>
          <cell r="M52" t="str">
            <v>수협은행</v>
          </cell>
          <cell r="N52" t="str">
            <v>(주)우민이엔지</v>
          </cell>
          <cell r="O52">
            <v>45275</v>
          </cell>
          <cell r="R52">
            <v>46217</v>
          </cell>
          <cell r="S52">
            <v>46217</v>
          </cell>
          <cell r="T52">
            <v>46217</v>
          </cell>
          <cell r="U52" t="str">
            <v>AB0301164</v>
          </cell>
          <cell r="V52" t="str">
            <v>보통인부</v>
          </cell>
          <cell r="W52" t="str">
            <v>우즈베키스탄</v>
          </cell>
        </row>
        <row r="53">
          <cell r="F53" t="str">
            <v/>
          </cell>
          <cell r="G53" t="str">
            <v/>
          </cell>
          <cell r="H53" t="str">
            <v/>
          </cell>
          <cell r="Q53" t="str">
            <v/>
          </cell>
        </row>
        <row r="54">
          <cell r="F54" t="str">
            <v/>
          </cell>
          <cell r="G54" t="str">
            <v/>
          </cell>
          <cell r="H54" t="str">
            <v/>
          </cell>
          <cell r="Q54" t="str">
            <v/>
          </cell>
        </row>
        <row r="55">
          <cell r="F55" t="str">
            <v/>
          </cell>
          <cell r="G55" t="str">
            <v/>
          </cell>
          <cell r="H55" t="str">
            <v/>
          </cell>
          <cell r="Q55" t="str">
            <v/>
          </cell>
        </row>
        <row r="56">
          <cell r="F56" t="str">
            <v/>
          </cell>
          <cell r="G56" t="str">
            <v/>
          </cell>
          <cell r="H56" t="str">
            <v/>
          </cell>
          <cell r="Q56" t="str">
            <v/>
          </cell>
        </row>
        <row r="57">
          <cell r="A57" t="str">
            <v>타워월례</v>
          </cell>
          <cell r="F57" t="str">
            <v/>
          </cell>
          <cell r="G57" t="str">
            <v/>
          </cell>
          <cell r="H57" t="str">
            <v/>
          </cell>
          <cell r="Q57" t="str">
            <v/>
          </cell>
        </row>
        <row r="58">
          <cell r="A58" t="str">
            <v>이덕희</v>
          </cell>
          <cell r="B58" t="str">
            <v>강원도 태백시 협심길1</v>
          </cell>
          <cell r="C58" t="str">
            <v>690715-1815216</v>
          </cell>
          <cell r="D58" t="str">
            <v>010-3895-2829</v>
          </cell>
          <cell r="E58">
            <v>140000</v>
          </cell>
          <cell r="F58" t="str">
            <v>남</v>
          </cell>
          <cell r="G58">
            <v>58</v>
          </cell>
          <cell r="H58" t="str">
            <v>-</v>
          </cell>
          <cell r="J58" t="str">
            <v>TC1</v>
          </cell>
          <cell r="K58" t="str">
            <v>타워크레인</v>
          </cell>
          <cell r="L58" t="str">
            <v>075-034598-02-010</v>
          </cell>
          <cell r="M58" t="str">
            <v>기업은행</v>
          </cell>
          <cell r="N58" t="str">
            <v>이덕희</v>
          </cell>
          <cell r="O58">
            <v>42070</v>
          </cell>
          <cell r="Q58" t="str">
            <v/>
          </cell>
          <cell r="S58">
            <v>45925</v>
          </cell>
          <cell r="T58">
            <v>45925</v>
          </cell>
          <cell r="V58" t="str">
            <v>타워크레인(운전원)</v>
          </cell>
        </row>
        <row r="59">
          <cell r="A59" t="str">
            <v>김상규</v>
          </cell>
          <cell r="B59" t="str">
            <v>인천시 계양구 안산로21번길13-1,다동 202호</v>
          </cell>
          <cell r="C59" t="str">
            <v>721110-1233210</v>
          </cell>
          <cell r="D59" t="str">
            <v>010-9236-9836</v>
          </cell>
          <cell r="E59">
            <v>140000</v>
          </cell>
          <cell r="F59" t="str">
            <v>남</v>
          </cell>
          <cell r="G59">
            <v>55</v>
          </cell>
          <cell r="H59" t="str">
            <v>-</v>
          </cell>
          <cell r="J59" t="str">
            <v>TC2</v>
          </cell>
          <cell r="K59" t="str">
            <v>타워크레인</v>
          </cell>
          <cell r="L59" t="str">
            <v>100-017-881301</v>
          </cell>
          <cell r="M59" t="str">
            <v>신한은행</v>
          </cell>
          <cell r="N59" t="str">
            <v>김상규</v>
          </cell>
          <cell r="Q59" t="str">
            <v/>
          </cell>
          <cell r="S59">
            <v>45927</v>
          </cell>
          <cell r="T59">
            <v>45927</v>
          </cell>
          <cell r="V59" t="str">
            <v>타워크레인(운전원)</v>
          </cell>
        </row>
        <row r="60">
          <cell r="A60" t="str">
            <v>이각규</v>
          </cell>
          <cell r="B60" t="str">
            <v>원주시 판부면 남원로390,101-1503</v>
          </cell>
          <cell r="C60" t="str">
            <v>751001-1224919</v>
          </cell>
          <cell r="D60" t="str">
            <v>010-4783-7670</v>
          </cell>
          <cell r="E60">
            <v>140000</v>
          </cell>
          <cell r="F60" t="str">
            <v>남</v>
          </cell>
          <cell r="G60">
            <v>52</v>
          </cell>
          <cell r="H60" t="str">
            <v>-</v>
          </cell>
          <cell r="J60" t="str">
            <v>TC2</v>
          </cell>
          <cell r="K60" t="str">
            <v>타워크레인</v>
          </cell>
          <cell r="L60" t="str">
            <v>356-0070-1729-13</v>
          </cell>
          <cell r="M60" t="str">
            <v>농협은행</v>
          </cell>
          <cell r="N60" t="str">
            <v>이각규</v>
          </cell>
          <cell r="Q60" t="str">
            <v/>
          </cell>
          <cell r="S60">
            <v>45943</v>
          </cell>
          <cell r="T60">
            <v>45943</v>
          </cell>
          <cell r="V60" t="str">
            <v>타워크레인(운전원)</v>
          </cell>
        </row>
        <row r="61">
          <cell r="A61" t="str">
            <v>황선득</v>
          </cell>
          <cell r="B61" t="str">
            <v>울산시 울주군 온양읍 대안3길46,102-1501</v>
          </cell>
          <cell r="C61" t="str">
            <v>680320-1110812</v>
          </cell>
          <cell r="D61" t="str">
            <v>010-7560-0810</v>
          </cell>
          <cell r="E61">
            <v>140000</v>
          </cell>
          <cell r="F61" t="str">
            <v>남</v>
          </cell>
          <cell r="G61">
            <v>59</v>
          </cell>
          <cell r="H61" t="str">
            <v>-</v>
          </cell>
          <cell r="J61" t="str">
            <v>TC3</v>
          </cell>
          <cell r="K61" t="str">
            <v>타워크레인</v>
          </cell>
          <cell r="L61" t="str">
            <v>610469-02-071381</v>
          </cell>
          <cell r="M61" t="str">
            <v>우체국</v>
          </cell>
          <cell r="N61" t="str">
            <v>황득선</v>
          </cell>
          <cell r="Q61" t="str">
            <v/>
          </cell>
          <cell r="S61">
            <v>45960</v>
          </cell>
          <cell r="T61">
            <v>45960</v>
          </cell>
          <cell r="V61" t="str">
            <v>타워크레인(운전원)</v>
          </cell>
        </row>
        <row r="62">
          <cell r="A62" t="str">
            <v>김원섭</v>
          </cell>
          <cell r="B62" t="str">
            <v>서울특별시 관악구 신림동 88-18</v>
          </cell>
          <cell r="C62" t="str">
            <v>680829-1324418</v>
          </cell>
          <cell r="D62" t="str">
            <v>010-8975-8236</v>
          </cell>
          <cell r="E62">
            <v>140000</v>
          </cell>
          <cell r="F62" t="str">
            <v>남</v>
          </cell>
          <cell r="G62">
            <v>59</v>
          </cell>
          <cell r="H62" t="str">
            <v>-</v>
          </cell>
          <cell r="J62" t="str">
            <v>TC4</v>
          </cell>
          <cell r="K62" t="str">
            <v>타워크레인</v>
          </cell>
          <cell r="L62" t="str">
            <v>351-0441-9336-53</v>
          </cell>
          <cell r="M62" t="str">
            <v>농협은행</v>
          </cell>
          <cell r="N62" t="str">
            <v>김원섭</v>
          </cell>
          <cell r="Q62" t="str">
            <v/>
          </cell>
          <cell r="S62">
            <v>45946</v>
          </cell>
          <cell r="T62">
            <v>45946</v>
          </cell>
          <cell r="V62" t="str">
            <v>타워크레인(운전원)</v>
          </cell>
        </row>
        <row r="63">
          <cell r="F63" t="str">
            <v/>
          </cell>
          <cell r="G63" t="str">
            <v/>
          </cell>
          <cell r="H63" t="str">
            <v/>
          </cell>
          <cell r="Q63" t="str">
            <v/>
          </cell>
        </row>
        <row r="64">
          <cell r="A64" t="str">
            <v>타워OT</v>
          </cell>
          <cell r="F64" t="str">
            <v/>
          </cell>
          <cell r="G64" t="str">
            <v/>
          </cell>
          <cell r="H64" t="str">
            <v/>
          </cell>
          <cell r="Q64" t="str">
            <v/>
          </cell>
        </row>
        <row r="65">
          <cell r="A65" t="str">
            <v>이재진</v>
          </cell>
          <cell r="B65" t="str">
            <v>경기도 군포시 번영로561번길59,B동 503호</v>
          </cell>
          <cell r="C65" t="str">
            <v>020213-3067710</v>
          </cell>
          <cell r="D65" t="str">
            <v>010-3895-2829</v>
          </cell>
          <cell r="F65" t="str">
            <v>남</v>
          </cell>
          <cell r="G65">
            <v>125</v>
          </cell>
          <cell r="H65" t="str">
            <v>-</v>
          </cell>
          <cell r="J65" t="str">
            <v>TC1</v>
          </cell>
          <cell r="K65" t="str">
            <v>타워크레인</v>
          </cell>
          <cell r="L65" t="str">
            <v>536-036062-01-011</v>
          </cell>
          <cell r="M65" t="str">
            <v>기업은행</v>
          </cell>
          <cell r="N65" t="str">
            <v>이재진</v>
          </cell>
          <cell r="Q65" t="str">
            <v/>
          </cell>
          <cell r="S65">
            <v>45925</v>
          </cell>
          <cell r="T65">
            <v>45925</v>
          </cell>
          <cell r="V65" t="str">
            <v>타워크레인(운전원)</v>
          </cell>
        </row>
        <row r="66">
          <cell r="A66" t="str">
            <v>김상규</v>
          </cell>
          <cell r="B66" t="str">
            <v>인천시 계양구 안산로21번길13-1,다동 202호</v>
          </cell>
          <cell r="C66" t="str">
            <v>721110-1233210</v>
          </cell>
          <cell r="D66" t="str">
            <v>010-9236-9836</v>
          </cell>
          <cell r="F66" t="str">
            <v>남</v>
          </cell>
          <cell r="G66">
            <v>55</v>
          </cell>
          <cell r="H66" t="str">
            <v>-</v>
          </cell>
          <cell r="J66" t="str">
            <v>TC2</v>
          </cell>
          <cell r="K66" t="str">
            <v>타워크레인</v>
          </cell>
          <cell r="M66" t="str">
            <v>신한은행</v>
          </cell>
          <cell r="N66" t="str">
            <v>김상규</v>
          </cell>
          <cell r="Q66" t="str">
            <v/>
          </cell>
          <cell r="S66">
            <v>45927</v>
          </cell>
          <cell r="T66">
            <v>45927</v>
          </cell>
          <cell r="V66" t="str">
            <v>타워크레인(운전원)</v>
          </cell>
        </row>
        <row r="67">
          <cell r="A67" t="str">
            <v>이미연</v>
          </cell>
          <cell r="D67" t="str">
            <v>010-4783-7670</v>
          </cell>
          <cell r="F67" t="str">
            <v/>
          </cell>
          <cell r="G67" t="str">
            <v/>
          </cell>
          <cell r="H67" t="str">
            <v/>
          </cell>
          <cell r="J67" t="str">
            <v>TC2</v>
          </cell>
          <cell r="K67" t="str">
            <v>타워크레인</v>
          </cell>
          <cell r="L67" t="str">
            <v>352-8403-7264-23</v>
          </cell>
          <cell r="M67" t="str">
            <v>농협은행</v>
          </cell>
          <cell r="N67" t="str">
            <v>이미연</v>
          </cell>
          <cell r="Q67" t="str">
            <v/>
          </cell>
          <cell r="S67">
            <v>45943</v>
          </cell>
          <cell r="T67">
            <v>45943</v>
          </cell>
          <cell r="V67" t="str">
            <v>타워크레인(운전원)</v>
          </cell>
        </row>
        <row r="68">
          <cell r="F68" t="str">
            <v/>
          </cell>
          <cell r="G68" t="str">
            <v/>
          </cell>
          <cell r="H68" t="str">
            <v/>
          </cell>
          <cell r="J68" t="str">
            <v>TC3</v>
          </cell>
          <cell r="Q68" t="str">
            <v/>
          </cell>
          <cell r="S68">
            <v>45943</v>
          </cell>
          <cell r="T68">
            <v>45943</v>
          </cell>
          <cell r="V68" t="str">
            <v>타워크레인(운전원)</v>
          </cell>
        </row>
        <row r="69">
          <cell r="A69" t="str">
            <v>김봉섭</v>
          </cell>
          <cell r="B69" t="str">
            <v xml:space="preserve">서울특별시 관악구 남부순환로1430,113-1703 </v>
          </cell>
          <cell r="C69" t="str">
            <v>590401-1324422</v>
          </cell>
          <cell r="D69" t="str">
            <v>010-8975-8236</v>
          </cell>
          <cell r="F69" t="str">
            <v>남</v>
          </cell>
          <cell r="G69">
            <v>68</v>
          </cell>
          <cell r="H69" t="str">
            <v>-</v>
          </cell>
          <cell r="J69" t="str">
            <v>TC4</v>
          </cell>
          <cell r="K69" t="str">
            <v>타워크레인</v>
          </cell>
          <cell r="L69" t="str">
            <v>401701-01-029468</v>
          </cell>
          <cell r="M69" t="str">
            <v>국민은행</v>
          </cell>
          <cell r="N69" t="str">
            <v>김봉섭</v>
          </cell>
          <cell r="Q69" t="str">
            <v/>
          </cell>
          <cell r="S69">
            <v>45943</v>
          </cell>
          <cell r="T69">
            <v>45943</v>
          </cell>
          <cell r="V69" t="str">
            <v>타워크레인(운전원)</v>
          </cell>
        </row>
        <row r="70">
          <cell r="F70" t="str">
            <v/>
          </cell>
          <cell r="G70" t="str">
            <v/>
          </cell>
          <cell r="H70" t="str">
            <v/>
          </cell>
          <cell r="Q70" t="str">
            <v/>
          </cell>
        </row>
        <row r="71">
          <cell r="F71" t="str">
            <v/>
          </cell>
          <cell r="G71" t="str">
            <v/>
          </cell>
          <cell r="H71" t="str">
            <v/>
          </cell>
          <cell r="Q71" t="str">
            <v/>
          </cell>
        </row>
        <row r="72">
          <cell r="F72" t="str">
            <v/>
          </cell>
          <cell r="G72" t="str">
            <v/>
          </cell>
          <cell r="H72" t="str">
            <v/>
          </cell>
          <cell r="Q72" t="str">
            <v/>
          </cell>
        </row>
        <row r="73">
          <cell r="A73" t="str">
            <v>백두인력</v>
          </cell>
          <cell r="F73" t="str">
            <v/>
          </cell>
          <cell r="G73" t="str">
            <v/>
          </cell>
          <cell r="H73" t="str">
            <v/>
          </cell>
          <cell r="L73" t="str">
            <v>302-0749-4358-91</v>
          </cell>
          <cell r="M73" t="str">
            <v>농협은행</v>
          </cell>
          <cell r="N73" t="str">
            <v>김민수</v>
          </cell>
          <cell r="Q73" t="str">
            <v/>
          </cell>
        </row>
        <row r="74">
          <cell r="A74" t="str">
            <v>고용민백두</v>
          </cell>
          <cell r="B74" t="str">
            <v>원주시 개운4길 58-3,302호,개운동</v>
          </cell>
          <cell r="C74" t="str">
            <v>020528-3268218</v>
          </cell>
          <cell r="D74" t="str">
            <v>010-7623-2794</v>
          </cell>
          <cell r="E74">
            <v>150000</v>
          </cell>
          <cell r="F74" t="str">
            <v>남</v>
          </cell>
          <cell r="G74">
            <v>25</v>
          </cell>
          <cell r="H74" t="str">
            <v>-</v>
          </cell>
          <cell r="J74" t="str">
            <v>용역</v>
          </cell>
          <cell r="K74" t="str">
            <v>백두인력</v>
          </cell>
          <cell r="O74">
            <v>45531</v>
          </cell>
          <cell r="Q74" t="str">
            <v/>
          </cell>
          <cell r="S74">
            <v>45888</v>
          </cell>
          <cell r="T74">
            <v>45888</v>
          </cell>
          <cell r="V74" t="str">
            <v>보통인부</v>
          </cell>
        </row>
        <row r="75">
          <cell r="A75" t="str">
            <v>김태홍</v>
          </cell>
          <cell r="B75" t="str">
            <v>원주시 남원로 524, 102동 1102호</v>
          </cell>
          <cell r="C75" t="str">
            <v>010406-3268411</v>
          </cell>
          <cell r="D75" t="str">
            <v>010-8594-1963</v>
          </cell>
          <cell r="E75">
            <v>150000</v>
          </cell>
          <cell r="F75" t="str">
            <v>남</v>
          </cell>
          <cell r="G75">
            <v>26</v>
          </cell>
          <cell r="H75" t="str">
            <v>-</v>
          </cell>
          <cell r="J75" t="str">
            <v>용역</v>
          </cell>
          <cell r="K75" t="str">
            <v>백두인력</v>
          </cell>
          <cell r="O75">
            <v>45737</v>
          </cell>
          <cell r="Q75" t="str">
            <v/>
          </cell>
          <cell r="S75">
            <v>45889</v>
          </cell>
          <cell r="T75">
            <v>45889</v>
          </cell>
          <cell r="V75" t="str">
            <v>보통인부</v>
          </cell>
        </row>
        <row r="76">
          <cell r="A76" t="str">
            <v>서은식</v>
          </cell>
          <cell r="B76" t="str">
            <v>김해시 김해대로 2431번길 34-1,105호</v>
          </cell>
          <cell r="C76" t="str">
            <v>670502-1127119</v>
          </cell>
          <cell r="D76" t="str">
            <v>010-5693-5274</v>
          </cell>
          <cell r="E76">
            <v>150000</v>
          </cell>
          <cell r="F76" t="str">
            <v>남</v>
          </cell>
          <cell r="G76">
            <v>60</v>
          </cell>
          <cell r="H76" t="str">
            <v>-</v>
          </cell>
          <cell r="J76" t="str">
            <v>용역</v>
          </cell>
          <cell r="K76" t="str">
            <v>백두인력</v>
          </cell>
          <cell r="O76">
            <v>45164</v>
          </cell>
          <cell r="Q76" t="str">
            <v/>
          </cell>
          <cell r="S76">
            <v>45889</v>
          </cell>
          <cell r="T76">
            <v>45889</v>
          </cell>
          <cell r="V76" t="str">
            <v>보통인부</v>
          </cell>
        </row>
        <row r="77">
          <cell r="A77" t="str">
            <v>김용환백두</v>
          </cell>
          <cell r="B77" t="str">
            <v>수원시 권선구 서부로1534,101-1103</v>
          </cell>
          <cell r="C77" t="str">
            <v>850729-1163216</v>
          </cell>
          <cell r="D77" t="str">
            <v>010-6464-8722</v>
          </cell>
          <cell r="E77">
            <v>150000</v>
          </cell>
          <cell r="F77" t="str">
            <v>남</v>
          </cell>
          <cell r="G77">
            <v>42</v>
          </cell>
          <cell r="H77" t="str">
            <v>-</v>
          </cell>
          <cell r="J77" t="str">
            <v>용역</v>
          </cell>
          <cell r="K77" t="str">
            <v>백두인력</v>
          </cell>
          <cell r="O77">
            <v>41453</v>
          </cell>
          <cell r="Q77" t="str">
            <v/>
          </cell>
          <cell r="S77">
            <v>45890</v>
          </cell>
          <cell r="T77">
            <v>45890</v>
          </cell>
          <cell r="V77" t="str">
            <v>보통인부</v>
          </cell>
        </row>
        <row r="78">
          <cell r="A78" t="str">
            <v>전용준</v>
          </cell>
          <cell r="B78" t="str">
            <v>원주시 남원로 492,105-802</v>
          </cell>
          <cell r="C78" t="str">
            <v>700318-1079713</v>
          </cell>
          <cell r="D78" t="str">
            <v>010-9903-2260</v>
          </cell>
          <cell r="E78">
            <v>150000</v>
          </cell>
          <cell r="F78" t="str">
            <v>남</v>
          </cell>
          <cell r="G78">
            <v>57</v>
          </cell>
          <cell r="H78" t="str">
            <v>-</v>
          </cell>
          <cell r="J78" t="str">
            <v>용역</v>
          </cell>
          <cell r="K78" t="str">
            <v>백두인력</v>
          </cell>
          <cell r="O78">
            <v>41471</v>
          </cell>
          <cell r="Q78" t="str">
            <v/>
          </cell>
          <cell r="S78">
            <v>45890</v>
          </cell>
          <cell r="T78">
            <v>45890</v>
          </cell>
          <cell r="V78" t="str">
            <v>보통인부</v>
          </cell>
        </row>
        <row r="79">
          <cell r="A79" t="str">
            <v>강희범</v>
          </cell>
          <cell r="B79" t="str">
            <v>수원시 장안구 창훈로52번길27-5,203호</v>
          </cell>
          <cell r="C79" t="str">
            <v>971213-1268113</v>
          </cell>
          <cell r="D79" t="str">
            <v>010-2367-5511</v>
          </cell>
          <cell r="E79">
            <v>150000</v>
          </cell>
          <cell r="F79" t="str">
            <v>남</v>
          </cell>
          <cell r="G79">
            <v>30</v>
          </cell>
          <cell r="H79" t="str">
            <v>-</v>
          </cell>
          <cell r="J79" t="str">
            <v>용역</v>
          </cell>
          <cell r="K79" t="str">
            <v>백두인력</v>
          </cell>
          <cell r="O79">
            <v>44894</v>
          </cell>
          <cell r="Q79" t="str">
            <v/>
          </cell>
          <cell r="S79">
            <v>45890</v>
          </cell>
          <cell r="T79">
            <v>45890</v>
          </cell>
          <cell r="V79" t="str">
            <v>보통인부</v>
          </cell>
        </row>
        <row r="80">
          <cell r="A80" t="str">
            <v>김봉규</v>
          </cell>
          <cell r="B80" t="str">
            <v>원주시 치악로2047,101-507</v>
          </cell>
          <cell r="C80" t="str">
            <v>850802-1267725</v>
          </cell>
          <cell r="D80" t="str">
            <v>010-6444-9909</v>
          </cell>
          <cell r="E80">
            <v>150000</v>
          </cell>
          <cell r="F80" t="str">
            <v>남</v>
          </cell>
          <cell r="G80">
            <v>42</v>
          </cell>
          <cell r="H80" t="str">
            <v>-</v>
          </cell>
          <cell r="J80" t="str">
            <v>용역</v>
          </cell>
          <cell r="K80" t="str">
            <v>백두인력</v>
          </cell>
          <cell r="O80">
            <v>42103</v>
          </cell>
          <cell r="Q80" t="str">
            <v/>
          </cell>
          <cell r="S80">
            <v>45890</v>
          </cell>
          <cell r="T80">
            <v>45890</v>
          </cell>
          <cell r="V80" t="str">
            <v>보통인부</v>
          </cell>
        </row>
        <row r="81">
          <cell r="A81" t="str">
            <v>오성문</v>
          </cell>
          <cell r="B81" t="str">
            <v>인천시 서구 이음5로65,2408-2401</v>
          </cell>
          <cell r="C81" t="str">
            <v>910121-1216419</v>
          </cell>
          <cell r="D81" t="str">
            <v>010-6868-1555</v>
          </cell>
          <cell r="E81">
            <v>150000</v>
          </cell>
          <cell r="F81" t="str">
            <v>남</v>
          </cell>
          <cell r="G81">
            <v>36</v>
          </cell>
          <cell r="H81" t="str">
            <v>-</v>
          </cell>
          <cell r="J81" t="str">
            <v>용역</v>
          </cell>
          <cell r="K81" t="str">
            <v>백두인력</v>
          </cell>
          <cell r="O81">
            <v>42974</v>
          </cell>
          <cell r="Q81" t="str">
            <v/>
          </cell>
          <cell r="S81">
            <v>45891</v>
          </cell>
          <cell r="T81">
            <v>45891</v>
          </cell>
          <cell r="V81" t="str">
            <v>보통인부</v>
          </cell>
        </row>
        <row r="82">
          <cell r="A82" t="str">
            <v>이도한</v>
          </cell>
          <cell r="B82" t="str">
            <v>안산시 상록구 오목로7안길15</v>
          </cell>
          <cell r="C82" t="str">
            <v>840808-1065716</v>
          </cell>
          <cell r="D82" t="str">
            <v>010-9454-8408</v>
          </cell>
          <cell r="E82">
            <v>150000</v>
          </cell>
          <cell r="F82" t="str">
            <v>남</v>
          </cell>
          <cell r="G82">
            <v>43</v>
          </cell>
          <cell r="H82" t="str">
            <v>-</v>
          </cell>
          <cell r="J82" t="str">
            <v>용역</v>
          </cell>
          <cell r="K82" t="str">
            <v>백두인력</v>
          </cell>
          <cell r="O82">
            <v>41373</v>
          </cell>
          <cell r="Q82" t="str">
            <v/>
          </cell>
          <cell r="S82">
            <v>45891</v>
          </cell>
          <cell r="T82">
            <v>45891</v>
          </cell>
          <cell r="V82" t="str">
            <v>보통인부</v>
          </cell>
        </row>
        <row r="83">
          <cell r="A83" t="str">
            <v>이상구</v>
          </cell>
          <cell r="B83" t="str">
            <v>원주시 지정면 신지정로265,305-2202</v>
          </cell>
          <cell r="C83" t="str">
            <v>700123-1812365</v>
          </cell>
          <cell r="D83" t="str">
            <v>010-5363-0239</v>
          </cell>
          <cell r="E83">
            <v>150000</v>
          </cell>
          <cell r="F83" t="str">
            <v>남</v>
          </cell>
          <cell r="G83">
            <v>57</v>
          </cell>
          <cell r="H83" t="str">
            <v>-</v>
          </cell>
          <cell r="J83" t="str">
            <v>용역</v>
          </cell>
          <cell r="K83" t="str">
            <v>백두인력</v>
          </cell>
          <cell r="O83">
            <v>45320</v>
          </cell>
          <cell r="Q83" t="str">
            <v/>
          </cell>
          <cell r="S83">
            <v>45892</v>
          </cell>
          <cell r="T83">
            <v>45892</v>
          </cell>
          <cell r="V83" t="str">
            <v>보통인부</v>
          </cell>
        </row>
        <row r="84">
          <cell r="A84" t="str">
            <v>김순철</v>
          </cell>
          <cell r="B84" t="str">
            <v>의완시 내손동659-15</v>
          </cell>
          <cell r="C84" t="str">
            <v>750401-1447420</v>
          </cell>
          <cell r="D84" t="str">
            <v>010-9389-6119</v>
          </cell>
          <cell r="E84">
            <v>150000</v>
          </cell>
          <cell r="F84" t="str">
            <v>남</v>
          </cell>
          <cell r="G84">
            <v>52</v>
          </cell>
          <cell r="H84" t="str">
            <v>-</v>
          </cell>
          <cell r="J84" t="str">
            <v>용역</v>
          </cell>
          <cell r="K84" t="str">
            <v>백두인력</v>
          </cell>
          <cell r="O84">
            <v>43042</v>
          </cell>
          <cell r="Q84" t="str">
            <v/>
          </cell>
          <cell r="S84">
            <v>45892</v>
          </cell>
          <cell r="T84">
            <v>45892</v>
          </cell>
          <cell r="V84" t="str">
            <v>보통인부</v>
          </cell>
        </row>
        <row r="85">
          <cell r="A85" t="str">
            <v>윤영수</v>
          </cell>
          <cell r="B85" t="str">
            <v>원주시 현충로234,3-509</v>
          </cell>
          <cell r="C85" t="str">
            <v>621127-1710010</v>
          </cell>
          <cell r="D85" t="str">
            <v>010-4270-7181</v>
          </cell>
          <cell r="E85">
            <v>150000</v>
          </cell>
          <cell r="F85" t="str">
            <v>남</v>
          </cell>
          <cell r="G85">
            <v>65</v>
          </cell>
          <cell r="H85" t="str">
            <v>-</v>
          </cell>
          <cell r="J85" t="str">
            <v>용역</v>
          </cell>
          <cell r="K85" t="str">
            <v>백두인력</v>
          </cell>
          <cell r="O85">
            <v>42101</v>
          </cell>
          <cell r="Q85" t="str">
            <v/>
          </cell>
          <cell r="S85">
            <v>45892</v>
          </cell>
          <cell r="T85">
            <v>45892</v>
          </cell>
          <cell r="V85" t="str">
            <v>보통인부</v>
          </cell>
        </row>
        <row r="86">
          <cell r="A86" t="str">
            <v>심길용</v>
          </cell>
          <cell r="B86" t="str">
            <v>원주시 문막읍 완건로80,104-508</v>
          </cell>
          <cell r="C86" t="str">
            <v>690806-1321211</v>
          </cell>
          <cell r="D86" t="str">
            <v>010-6327-2453</v>
          </cell>
          <cell r="E86">
            <v>150000</v>
          </cell>
          <cell r="F86" t="str">
            <v>남</v>
          </cell>
          <cell r="G86">
            <v>58</v>
          </cell>
          <cell r="H86" t="str">
            <v>-</v>
          </cell>
          <cell r="J86" t="str">
            <v>용역</v>
          </cell>
          <cell r="K86" t="str">
            <v>백두인력</v>
          </cell>
          <cell r="O86">
            <v>42965</v>
          </cell>
          <cell r="Q86" t="str">
            <v/>
          </cell>
          <cell r="S86">
            <v>45892</v>
          </cell>
          <cell r="T86">
            <v>45892</v>
          </cell>
          <cell r="V86" t="str">
            <v>보통인부</v>
          </cell>
        </row>
        <row r="87">
          <cell r="A87" t="str">
            <v>김춘기</v>
          </cell>
          <cell r="B87" t="str">
            <v>원주시 문막읍 왕건로80,104-508</v>
          </cell>
          <cell r="C87" t="str">
            <v>940519-1020813</v>
          </cell>
          <cell r="D87" t="str">
            <v>010-8257-8650</v>
          </cell>
          <cell r="E87">
            <v>150000</v>
          </cell>
          <cell r="F87" t="str">
            <v>남</v>
          </cell>
          <cell r="G87">
            <v>33</v>
          </cell>
          <cell r="H87" t="str">
            <v>-</v>
          </cell>
          <cell r="J87" t="str">
            <v>용역</v>
          </cell>
          <cell r="K87" t="str">
            <v>백두인력</v>
          </cell>
          <cell r="O87">
            <v>45748</v>
          </cell>
          <cell r="Q87" t="str">
            <v/>
          </cell>
          <cell r="S87">
            <v>45896</v>
          </cell>
          <cell r="T87">
            <v>45896</v>
          </cell>
          <cell r="V87" t="str">
            <v>보통인부</v>
          </cell>
        </row>
        <row r="88">
          <cell r="A88" t="str">
            <v>윤경석</v>
          </cell>
          <cell r="B88" t="str">
            <v>성남시 수정구 수정로188번길19-16</v>
          </cell>
          <cell r="C88" t="str">
            <v>840329-1170117</v>
          </cell>
          <cell r="D88" t="str">
            <v>010-7117-9144</v>
          </cell>
          <cell r="E88">
            <v>150000</v>
          </cell>
          <cell r="F88" t="str">
            <v>남</v>
          </cell>
          <cell r="G88">
            <v>43</v>
          </cell>
          <cell r="H88" t="str">
            <v>-</v>
          </cell>
          <cell r="J88" t="str">
            <v>용역</v>
          </cell>
          <cell r="K88" t="str">
            <v>백두인력</v>
          </cell>
          <cell r="O88">
            <v>43858</v>
          </cell>
          <cell r="Q88" t="str">
            <v/>
          </cell>
          <cell r="S88">
            <v>45896</v>
          </cell>
          <cell r="T88">
            <v>45896</v>
          </cell>
          <cell r="V88" t="str">
            <v>보통인부</v>
          </cell>
        </row>
        <row r="89">
          <cell r="A89" t="str">
            <v>이규용</v>
          </cell>
          <cell r="B89" t="str">
            <v>원주시 문막읍 dnjsas로1700,103-1104</v>
          </cell>
          <cell r="C89" t="str">
            <v>840705-1267515</v>
          </cell>
          <cell r="D89" t="str">
            <v>010-8709-0018</v>
          </cell>
          <cell r="E89">
            <v>150000</v>
          </cell>
          <cell r="F89" t="str">
            <v>남</v>
          </cell>
          <cell r="G89">
            <v>43</v>
          </cell>
          <cell r="H89" t="str">
            <v>-</v>
          </cell>
          <cell r="J89" t="str">
            <v>용역</v>
          </cell>
          <cell r="K89" t="str">
            <v>백두인력</v>
          </cell>
          <cell r="O89">
            <v>45491</v>
          </cell>
          <cell r="Q89" t="str">
            <v/>
          </cell>
          <cell r="S89">
            <v>45896</v>
          </cell>
          <cell r="T89">
            <v>45896</v>
          </cell>
          <cell r="V89" t="str">
            <v>보통인부</v>
          </cell>
        </row>
        <row r="90">
          <cell r="A90" t="str">
            <v>이용환</v>
          </cell>
          <cell r="B90" t="str">
            <v>원주시 나비허리길188,801-508</v>
          </cell>
          <cell r="C90" t="str">
            <v>760315-1332835</v>
          </cell>
          <cell r="D90" t="str">
            <v>010-6439-6249</v>
          </cell>
          <cell r="E90">
            <v>150000</v>
          </cell>
          <cell r="F90" t="str">
            <v>남</v>
          </cell>
          <cell r="G90">
            <v>51</v>
          </cell>
          <cell r="H90" t="str">
            <v>-</v>
          </cell>
          <cell r="J90" t="str">
            <v>용역</v>
          </cell>
          <cell r="K90" t="str">
            <v>백두인력</v>
          </cell>
          <cell r="O90">
            <v>42863</v>
          </cell>
          <cell r="Q90" t="str">
            <v/>
          </cell>
          <cell r="S90">
            <v>45898</v>
          </cell>
          <cell r="T90">
            <v>45898</v>
          </cell>
          <cell r="V90" t="str">
            <v>보통인부</v>
          </cell>
        </row>
        <row r="91">
          <cell r="A91" t="str">
            <v>전수민</v>
          </cell>
          <cell r="B91" t="str">
            <v>원주시 월운정길38</v>
          </cell>
          <cell r="C91" t="str">
            <v>900209-1285011</v>
          </cell>
          <cell r="D91" t="str">
            <v>010-5573-5908</v>
          </cell>
          <cell r="E91">
            <v>150000</v>
          </cell>
          <cell r="F91" t="str">
            <v>남</v>
          </cell>
          <cell r="G91">
            <v>37</v>
          </cell>
          <cell r="H91" t="str">
            <v>-</v>
          </cell>
          <cell r="J91" t="str">
            <v>용역</v>
          </cell>
          <cell r="K91" t="str">
            <v>백두인력</v>
          </cell>
          <cell r="O91">
            <v>42787</v>
          </cell>
          <cell r="Q91" t="str">
            <v/>
          </cell>
          <cell r="S91">
            <v>45898</v>
          </cell>
          <cell r="T91">
            <v>45898</v>
          </cell>
          <cell r="V91" t="str">
            <v>보통인부</v>
          </cell>
        </row>
        <row r="92">
          <cell r="A92" t="str">
            <v>원동호</v>
          </cell>
          <cell r="B92" t="str">
            <v>원주시 적동1길7,101-1311</v>
          </cell>
          <cell r="C92" t="str">
            <v>900227-1323417</v>
          </cell>
          <cell r="D92" t="str">
            <v>010-8757-4965</v>
          </cell>
          <cell r="E92">
            <v>150000</v>
          </cell>
          <cell r="F92" t="str">
            <v>남</v>
          </cell>
          <cell r="G92">
            <v>37</v>
          </cell>
          <cell r="H92" t="str">
            <v>-</v>
          </cell>
          <cell r="J92" t="str">
            <v>용역</v>
          </cell>
          <cell r="K92" t="str">
            <v>백두인력</v>
          </cell>
          <cell r="O92">
            <v>41976</v>
          </cell>
          <cell r="Q92" t="str">
            <v/>
          </cell>
          <cell r="S92">
            <v>45898</v>
          </cell>
          <cell r="T92">
            <v>45898</v>
          </cell>
          <cell r="V92" t="str">
            <v>보통인부</v>
          </cell>
        </row>
        <row r="93">
          <cell r="A93" t="str">
            <v>류황종</v>
          </cell>
          <cell r="B93" t="str">
            <v>강원도 인제군 기린면 내린천로4870</v>
          </cell>
          <cell r="C93" t="str">
            <v>640225-1253833</v>
          </cell>
          <cell r="D93" t="str">
            <v>010-8898-8161</v>
          </cell>
          <cell r="E93">
            <v>150000</v>
          </cell>
          <cell r="F93" t="str">
            <v>남</v>
          </cell>
          <cell r="G93">
            <v>63</v>
          </cell>
          <cell r="H93" t="str">
            <v>-</v>
          </cell>
          <cell r="J93" t="str">
            <v>용역</v>
          </cell>
          <cell r="K93" t="str">
            <v>백두인력</v>
          </cell>
          <cell r="O93">
            <v>41425</v>
          </cell>
          <cell r="Q93" t="str">
            <v/>
          </cell>
          <cell r="S93">
            <v>45899</v>
          </cell>
          <cell r="T93">
            <v>45899</v>
          </cell>
          <cell r="V93" t="str">
            <v>보통인부</v>
          </cell>
        </row>
        <row r="94">
          <cell r="A94" t="str">
            <v>이주현</v>
          </cell>
          <cell r="B94" t="str">
            <v>춘천시 공지로252번길28-2,12-202</v>
          </cell>
          <cell r="C94" t="str">
            <v>920514-1268217</v>
          </cell>
          <cell r="D94" t="str">
            <v>010-9872-3727</v>
          </cell>
          <cell r="E94">
            <v>150000</v>
          </cell>
          <cell r="F94" t="str">
            <v>남</v>
          </cell>
          <cell r="G94">
            <v>35</v>
          </cell>
          <cell r="H94" t="str">
            <v>-</v>
          </cell>
          <cell r="J94" t="str">
            <v>용역</v>
          </cell>
          <cell r="K94" t="str">
            <v>백두인력</v>
          </cell>
          <cell r="O94">
            <v>44875</v>
          </cell>
          <cell r="Q94" t="str">
            <v/>
          </cell>
          <cell r="S94">
            <v>45899</v>
          </cell>
          <cell r="T94">
            <v>45899</v>
          </cell>
          <cell r="V94" t="str">
            <v>보통인부</v>
          </cell>
        </row>
        <row r="95">
          <cell r="A95" t="str">
            <v>권준하</v>
          </cell>
          <cell r="B95" t="str">
            <v>강릉시 강릉대로159번길14</v>
          </cell>
          <cell r="C95" t="str">
            <v>010621-3274022</v>
          </cell>
          <cell r="D95" t="str">
            <v>010-6689-5191</v>
          </cell>
          <cell r="E95">
            <v>150000</v>
          </cell>
          <cell r="F95" t="str">
            <v>남</v>
          </cell>
          <cell r="G95">
            <v>26</v>
          </cell>
          <cell r="H95" t="str">
            <v>-</v>
          </cell>
          <cell r="J95" t="str">
            <v>용역</v>
          </cell>
          <cell r="K95" t="str">
            <v>백두인력</v>
          </cell>
          <cell r="O95">
            <v>45896</v>
          </cell>
          <cell r="Q95" t="str">
            <v/>
          </cell>
          <cell r="S95">
            <v>45903</v>
          </cell>
          <cell r="T95">
            <v>45903</v>
          </cell>
          <cell r="V95" t="str">
            <v>보통인부</v>
          </cell>
        </row>
        <row r="96">
          <cell r="F96" t="str">
            <v/>
          </cell>
          <cell r="G96" t="str">
            <v/>
          </cell>
          <cell r="H96" t="str">
            <v/>
          </cell>
          <cell r="Q96" t="str">
            <v/>
          </cell>
        </row>
        <row r="97">
          <cell r="F97" t="str">
            <v/>
          </cell>
          <cell r="G97" t="str">
            <v/>
          </cell>
          <cell r="H97" t="str">
            <v/>
          </cell>
          <cell r="Q97" t="str">
            <v/>
          </cell>
        </row>
        <row r="98">
          <cell r="F98" t="str">
            <v/>
          </cell>
          <cell r="G98" t="str">
            <v/>
          </cell>
          <cell r="H98" t="str">
            <v/>
          </cell>
          <cell r="Q98" t="str">
            <v/>
          </cell>
        </row>
        <row r="99">
          <cell r="F99" t="str">
            <v/>
          </cell>
          <cell r="G99" t="str">
            <v/>
          </cell>
          <cell r="H99" t="str">
            <v/>
          </cell>
          <cell r="Q99" t="str">
            <v/>
          </cell>
        </row>
        <row r="100">
          <cell r="A100" t="str">
            <v>영서인력</v>
          </cell>
          <cell r="B100" t="str">
            <v>강원 원주시 원일로172,학성동</v>
          </cell>
          <cell r="C100" t="str">
            <v>224-81-12528</v>
          </cell>
          <cell r="D100" t="str">
            <v>010-5378-0056</v>
          </cell>
          <cell r="F100" t="str">
            <v>남</v>
          </cell>
          <cell r="G100">
            <v>105</v>
          </cell>
          <cell r="H100" t="str">
            <v>-</v>
          </cell>
          <cell r="K100" t="str">
            <v>홍성기</v>
          </cell>
          <cell r="L100" t="str">
            <v>211-01-179677</v>
          </cell>
          <cell r="M100" t="str">
            <v>농협은행</v>
          </cell>
          <cell r="N100" t="str">
            <v>영서인력공사</v>
          </cell>
          <cell r="Q100" t="str">
            <v/>
          </cell>
        </row>
        <row r="101">
          <cell r="A101" t="str">
            <v>김대영</v>
          </cell>
          <cell r="B101" t="str">
            <v>원주시 단계동 836-7</v>
          </cell>
          <cell r="C101" t="str">
            <v>710217-1326025</v>
          </cell>
          <cell r="D101" t="str">
            <v>010-3915-2480</v>
          </cell>
          <cell r="E101">
            <v>150000</v>
          </cell>
          <cell r="F101" t="str">
            <v>남</v>
          </cell>
          <cell r="G101">
            <v>56</v>
          </cell>
          <cell r="H101" t="str">
            <v>-</v>
          </cell>
          <cell r="J101" t="str">
            <v>용역</v>
          </cell>
          <cell r="K101" t="str">
            <v>영서인력</v>
          </cell>
          <cell r="O101">
            <v>41736</v>
          </cell>
          <cell r="Q101" t="str">
            <v/>
          </cell>
          <cell r="S101">
            <v>45905</v>
          </cell>
          <cell r="T101">
            <v>45905</v>
          </cell>
          <cell r="V101" t="str">
            <v>보통인부</v>
          </cell>
        </row>
        <row r="102">
          <cell r="A102" t="str">
            <v>송금종</v>
          </cell>
          <cell r="B102" t="str">
            <v>원주시 북원로2475번길42-5</v>
          </cell>
          <cell r="C102" t="str">
            <v>690226-1037715</v>
          </cell>
          <cell r="D102" t="str">
            <v>010-7757-6859</v>
          </cell>
          <cell r="E102">
            <v>150000</v>
          </cell>
          <cell r="F102" t="str">
            <v>남</v>
          </cell>
          <cell r="G102">
            <v>58</v>
          </cell>
          <cell r="H102" t="str">
            <v>-</v>
          </cell>
          <cell r="J102" t="str">
            <v>용역</v>
          </cell>
          <cell r="K102" t="str">
            <v>영서인력</v>
          </cell>
          <cell r="O102">
            <v>41775</v>
          </cell>
          <cell r="Q102" t="str">
            <v/>
          </cell>
          <cell r="S102">
            <v>45905</v>
          </cell>
          <cell r="T102">
            <v>45905</v>
          </cell>
          <cell r="V102" t="str">
            <v>보통인부</v>
          </cell>
        </row>
        <row r="103">
          <cell r="A103" t="str">
            <v>구본혁</v>
          </cell>
          <cell r="B103" t="str">
            <v>원주시 시청호40,708-205</v>
          </cell>
          <cell r="C103" t="str">
            <v>570821-1268819</v>
          </cell>
          <cell r="D103" t="str">
            <v>010-4749-6144</v>
          </cell>
          <cell r="E103">
            <v>160000</v>
          </cell>
          <cell r="F103" t="str">
            <v>남</v>
          </cell>
          <cell r="G103">
            <v>70</v>
          </cell>
          <cell r="H103" t="str">
            <v>-</v>
          </cell>
          <cell r="J103" t="str">
            <v>용역</v>
          </cell>
          <cell r="K103" t="str">
            <v>영서인력</v>
          </cell>
          <cell r="L103" t="str">
            <v>352-1547-7998-73</v>
          </cell>
          <cell r="M103" t="str">
            <v>농협은행</v>
          </cell>
          <cell r="N103" t="str">
            <v>구본혁</v>
          </cell>
          <cell r="O103">
            <v>42604</v>
          </cell>
          <cell r="Q103" t="str">
            <v/>
          </cell>
          <cell r="S103">
            <v>45905</v>
          </cell>
          <cell r="T103">
            <v>45905</v>
          </cell>
          <cell r="V103" t="str">
            <v>보통인부</v>
          </cell>
        </row>
        <row r="104">
          <cell r="A104" t="str">
            <v>안근숙</v>
          </cell>
          <cell r="B104" t="str">
            <v>원주시 마재1로1,103-1405</v>
          </cell>
          <cell r="C104" t="str">
            <v>620107-1395211</v>
          </cell>
          <cell r="D104" t="str">
            <v>010-3397-2104</v>
          </cell>
          <cell r="E104">
            <v>150000</v>
          </cell>
          <cell r="F104" t="str">
            <v>남</v>
          </cell>
          <cell r="G104">
            <v>65</v>
          </cell>
          <cell r="H104" t="str">
            <v>-</v>
          </cell>
          <cell r="J104" t="str">
            <v>용역</v>
          </cell>
          <cell r="K104" t="str">
            <v>영서인력</v>
          </cell>
          <cell r="O104">
            <v>41530</v>
          </cell>
          <cell r="Q104" t="str">
            <v/>
          </cell>
          <cell r="S104">
            <v>45905</v>
          </cell>
          <cell r="T104">
            <v>45905</v>
          </cell>
          <cell r="V104" t="str">
            <v>보통인부</v>
          </cell>
        </row>
        <row r="105">
          <cell r="A105" t="str">
            <v>홍성환</v>
          </cell>
          <cell r="B105" t="str">
            <v>원주시 남산로186-4,1호</v>
          </cell>
          <cell r="C105" t="str">
            <v>801107-1267912</v>
          </cell>
          <cell r="D105" t="str">
            <v>010-3315-2911</v>
          </cell>
          <cell r="E105">
            <v>150000</v>
          </cell>
          <cell r="F105" t="str">
            <v>남</v>
          </cell>
          <cell r="G105">
            <v>47</v>
          </cell>
          <cell r="H105" t="str">
            <v>-</v>
          </cell>
          <cell r="J105" t="str">
            <v>용역</v>
          </cell>
          <cell r="K105" t="str">
            <v>영서인력</v>
          </cell>
          <cell r="O105">
            <v>42188</v>
          </cell>
          <cell r="Q105" t="str">
            <v/>
          </cell>
          <cell r="S105">
            <v>45906</v>
          </cell>
          <cell r="T105">
            <v>45906</v>
          </cell>
          <cell r="V105" t="str">
            <v>보통인부</v>
          </cell>
        </row>
        <row r="106">
          <cell r="A106" t="str">
            <v>김영만</v>
          </cell>
          <cell r="B106" t="str">
            <v>원주시 백간길63, 301-104</v>
          </cell>
          <cell r="C106" t="str">
            <v>640128-1268610</v>
          </cell>
          <cell r="D106" t="str">
            <v>010-2448-1831</v>
          </cell>
          <cell r="E106">
            <v>150000</v>
          </cell>
          <cell r="F106" t="str">
            <v>남</v>
          </cell>
          <cell r="G106">
            <v>63</v>
          </cell>
          <cell r="H106" t="str">
            <v>-</v>
          </cell>
          <cell r="J106" t="str">
            <v>용역</v>
          </cell>
          <cell r="K106" t="str">
            <v>영서인력</v>
          </cell>
          <cell r="Q106" t="str">
            <v/>
          </cell>
          <cell r="S106">
            <v>45909</v>
          </cell>
          <cell r="T106">
            <v>45909</v>
          </cell>
          <cell r="V106" t="str">
            <v>보통인부</v>
          </cell>
        </row>
        <row r="107">
          <cell r="A107" t="str">
            <v>김창석</v>
          </cell>
          <cell r="B107" t="str">
            <v>원주시 감영길18-3</v>
          </cell>
          <cell r="C107" t="str">
            <v>760305-1345350</v>
          </cell>
          <cell r="D107" t="str">
            <v>010-8098-3717</v>
          </cell>
          <cell r="E107">
            <v>150000</v>
          </cell>
          <cell r="F107" t="str">
            <v>남</v>
          </cell>
          <cell r="G107">
            <v>51</v>
          </cell>
          <cell r="H107" t="str">
            <v>-</v>
          </cell>
          <cell r="J107" t="str">
            <v>용역</v>
          </cell>
          <cell r="K107" t="str">
            <v>영서인력</v>
          </cell>
          <cell r="O107">
            <v>42086</v>
          </cell>
          <cell r="Q107" t="str">
            <v/>
          </cell>
          <cell r="S107">
            <v>45910</v>
          </cell>
          <cell r="T107">
            <v>45910</v>
          </cell>
          <cell r="V107" t="str">
            <v>보통인부</v>
          </cell>
        </row>
        <row r="108">
          <cell r="A108" t="str">
            <v>김영동</v>
          </cell>
          <cell r="B108" t="str">
            <v>원주시 남산로149번길5-1</v>
          </cell>
          <cell r="C108" t="str">
            <v>680525-1326614</v>
          </cell>
          <cell r="D108" t="str">
            <v>010-4886-5330</v>
          </cell>
          <cell r="E108">
            <v>150000</v>
          </cell>
          <cell r="F108" t="str">
            <v>남</v>
          </cell>
          <cell r="G108">
            <v>59</v>
          </cell>
          <cell r="H108" t="str">
            <v>-</v>
          </cell>
          <cell r="J108" t="str">
            <v>용역</v>
          </cell>
          <cell r="K108" t="str">
            <v>영서인력</v>
          </cell>
          <cell r="O108">
            <v>41439</v>
          </cell>
          <cell r="Q108" t="str">
            <v/>
          </cell>
          <cell r="S108">
            <v>45910</v>
          </cell>
          <cell r="T108">
            <v>45910</v>
          </cell>
          <cell r="V108" t="str">
            <v>보통인부</v>
          </cell>
        </row>
        <row r="109">
          <cell r="A109" t="str">
            <v>박남용</v>
          </cell>
          <cell r="B109" t="str">
            <v>원주시 단구동131-1</v>
          </cell>
          <cell r="C109" t="str">
            <v>630618-1267714</v>
          </cell>
          <cell r="D109" t="str">
            <v>010-5113-9297</v>
          </cell>
          <cell r="E109">
            <v>150000</v>
          </cell>
          <cell r="F109" t="str">
            <v>남</v>
          </cell>
          <cell r="G109">
            <v>64</v>
          </cell>
          <cell r="H109" t="str">
            <v>-</v>
          </cell>
          <cell r="J109" t="str">
            <v>용역</v>
          </cell>
          <cell r="K109" t="str">
            <v>영서인력</v>
          </cell>
          <cell r="O109">
            <v>41460</v>
          </cell>
          <cell r="Q109" t="str">
            <v/>
          </cell>
          <cell r="S109">
            <v>45910</v>
          </cell>
          <cell r="T109">
            <v>45910</v>
          </cell>
          <cell r="V109" t="str">
            <v>보통인부</v>
          </cell>
        </row>
        <row r="110">
          <cell r="A110" t="str">
            <v>신현우</v>
          </cell>
          <cell r="B110" t="str">
            <v>춘천시 하한계길34</v>
          </cell>
          <cell r="C110" t="str">
            <v>690114-1262218</v>
          </cell>
          <cell r="D110" t="str">
            <v>010-6383-2558</v>
          </cell>
          <cell r="E110">
            <v>150000</v>
          </cell>
          <cell r="F110" t="str">
            <v>남</v>
          </cell>
          <cell r="G110">
            <v>58</v>
          </cell>
          <cell r="H110" t="str">
            <v>-</v>
          </cell>
          <cell r="J110" t="str">
            <v>용역</v>
          </cell>
          <cell r="K110" t="str">
            <v>영서인력</v>
          </cell>
          <cell r="O110">
            <v>42380</v>
          </cell>
          <cell r="Q110" t="str">
            <v/>
          </cell>
          <cell r="S110">
            <v>45910</v>
          </cell>
          <cell r="T110">
            <v>45910</v>
          </cell>
          <cell r="V110" t="str">
            <v>보통인부</v>
          </cell>
        </row>
        <row r="111">
          <cell r="A111" t="str">
            <v>주승종</v>
          </cell>
          <cell r="B111" t="str">
            <v>원주시 개운로30,107-403</v>
          </cell>
          <cell r="C111" t="str">
            <v>701030-1326011</v>
          </cell>
          <cell r="D111" t="str">
            <v>010-8830-8308</v>
          </cell>
          <cell r="E111">
            <v>150000</v>
          </cell>
          <cell r="F111" t="str">
            <v>남</v>
          </cell>
          <cell r="G111">
            <v>57</v>
          </cell>
          <cell r="H111" t="str">
            <v>-</v>
          </cell>
          <cell r="J111" t="str">
            <v>용역</v>
          </cell>
          <cell r="K111" t="str">
            <v>영서인력</v>
          </cell>
          <cell r="O111">
            <v>41551</v>
          </cell>
          <cell r="Q111" t="str">
            <v/>
          </cell>
          <cell r="S111">
            <v>45911</v>
          </cell>
          <cell r="T111">
            <v>45911</v>
          </cell>
          <cell r="V111" t="str">
            <v>보통인부</v>
          </cell>
        </row>
        <row r="112">
          <cell r="A112" t="str">
            <v>최윤우</v>
          </cell>
          <cell r="B112" t="str">
            <v>원주시 단구로424,601-506</v>
          </cell>
          <cell r="C112" t="str">
            <v>700630-1058529</v>
          </cell>
          <cell r="D112" t="str">
            <v>010-5364-2548</v>
          </cell>
          <cell r="E112">
            <v>150000</v>
          </cell>
          <cell r="F112" t="str">
            <v>남</v>
          </cell>
          <cell r="G112">
            <v>57</v>
          </cell>
          <cell r="H112" t="str">
            <v>-</v>
          </cell>
          <cell r="J112" t="str">
            <v>용역</v>
          </cell>
          <cell r="K112" t="str">
            <v>영서인력</v>
          </cell>
          <cell r="O112">
            <v>42324</v>
          </cell>
          <cell r="Q112" t="str">
            <v/>
          </cell>
          <cell r="S112">
            <v>45911</v>
          </cell>
          <cell r="T112">
            <v>45911</v>
          </cell>
          <cell r="V112" t="str">
            <v>보통인부</v>
          </cell>
        </row>
        <row r="113">
          <cell r="A113" t="str">
            <v>김정호58</v>
          </cell>
          <cell r="B113" t="str">
            <v>원주시 남산로187</v>
          </cell>
          <cell r="C113" t="str">
            <v>580512-1279110</v>
          </cell>
          <cell r="D113" t="str">
            <v>010-4913-6308</v>
          </cell>
          <cell r="E113">
            <v>150000</v>
          </cell>
          <cell r="F113" t="str">
            <v>남</v>
          </cell>
          <cell r="G113">
            <v>69</v>
          </cell>
          <cell r="H113" t="str">
            <v>-</v>
          </cell>
          <cell r="J113" t="str">
            <v>용역</v>
          </cell>
          <cell r="K113" t="str">
            <v>영서인력</v>
          </cell>
          <cell r="O113">
            <v>41459</v>
          </cell>
          <cell r="Q113" t="str">
            <v/>
          </cell>
          <cell r="S113">
            <v>45911</v>
          </cell>
          <cell r="T113">
            <v>45911</v>
          </cell>
          <cell r="V113" t="str">
            <v>보통인부</v>
          </cell>
        </row>
        <row r="114">
          <cell r="A114" t="str">
            <v>신만규</v>
          </cell>
          <cell r="B114" t="str">
            <v>원주시 무실로55번길65,101-811</v>
          </cell>
          <cell r="C114" t="str">
            <v>670420-1326111</v>
          </cell>
          <cell r="D114" t="str">
            <v>010-6722-8903</v>
          </cell>
          <cell r="E114">
            <v>150000</v>
          </cell>
          <cell r="F114" t="str">
            <v>남</v>
          </cell>
          <cell r="G114">
            <v>60</v>
          </cell>
          <cell r="H114" t="str">
            <v>-</v>
          </cell>
          <cell r="J114" t="str">
            <v>용역</v>
          </cell>
          <cell r="K114" t="str">
            <v>영서인력</v>
          </cell>
          <cell r="Q114" t="str">
            <v/>
          </cell>
          <cell r="S114">
            <v>45912</v>
          </cell>
          <cell r="T114">
            <v>45912</v>
          </cell>
          <cell r="V114" t="str">
            <v>보통인부</v>
          </cell>
        </row>
        <row r="115">
          <cell r="A115" t="str">
            <v>최상현</v>
          </cell>
          <cell r="B115" t="str">
            <v>횡성군 황성읍 태기로8-1,301호</v>
          </cell>
          <cell r="C115" t="str">
            <v>850115-1323418</v>
          </cell>
          <cell r="D115" t="str">
            <v>010-3070-6676</v>
          </cell>
          <cell r="E115">
            <v>150000</v>
          </cell>
          <cell r="F115" t="str">
            <v>남</v>
          </cell>
          <cell r="G115">
            <v>42</v>
          </cell>
          <cell r="H115" t="str">
            <v>-</v>
          </cell>
          <cell r="J115" t="str">
            <v>용역</v>
          </cell>
          <cell r="K115" t="str">
            <v>영서인력</v>
          </cell>
          <cell r="O115">
            <v>43332</v>
          </cell>
          <cell r="Q115" t="str">
            <v/>
          </cell>
          <cell r="S115">
            <v>45912</v>
          </cell>
          <cell r="T115">
            <v>45912</v>
          </cell>
          <cell r="V115" t="str">
            <v>보통인부</v>
          </cell>
        </row>
        <row r="116">
          <cell r="A116" t="str">
            <v>최상순</v>
          </cell>
          <cell r="B116" t="str">
            <v>원주시 남원로494,701-807</v>
          </cell>
          <cell r="C116" t="str">
            <v>661105-1330930</v>
          </cell>
          <cell r="D116" t="str">
            <v>010-5095-8818</v>
          </cell>
          <cell r="E116">
            <v>150000</v>
          </cell>
          <cell r="F116" t="str">
            <v>남</v>
          </cell>
          <cell r="G116">
            <v>61</v>
          </cell>
          <cell r="H116" t="str">
            <v>-</v>
          </cell>
          <cell r="J116" t="str">
            <v>용역</v>
          </cell>
          <cell r="K116" t="str">
            <v>영서인력</v>
          </cell>
          <cell r="O116">
            <v>42108</v>
          </cell>
          <cell r="Q116" t="str">
            <v/>
          </cell>
          <cell r="S116">
            <v>45912</v>
          </cell>
          <cell r="T116">
            <v>45912</v>
          </cell>
          <cell r="V116" t="str">
            <v>보통인부</v>
          </cell>
        </row>
        <row r="117">
          <cell r="A117" t="str">
            <v>에딕</v>
          </cell>
          <cell r="B117" t="str">
            <v>원주시 개운1길21,303호</v>
          </cell>
          <cell r="C117" t="str">
            <v>921209-5280024</v>
          </cell>
          <cell r="D117" t="str">
            <v>010-3021-1993</v>
          </cell>
          <cell r="E117">
            <v>150000</v>
          </cell>
          <cell r="F117" t="str">
            <v>남</v>
          </cell>
          <cell r="G117">
            <v>35</v>
          </cell>
          <cell r="H117" t="str">
            <v>외국인</v>
          </cell>
          <cell r="I117" t="str">
            <v>ATAMBAEV JALIL ABDUVALIEVICH</v>
          </cell>
          <cell r="J117" t="str">
            <v>용역</v>
          </cell>
          <cell r="K117" t="str">
            <v>영서인력</v>
          </cell>
          <cell r="O117">
            <v>44273</v>
          </cell>
          <cell r="P117" t="str">
            <v>영주F5</v>
          </cell>
          <cell r="Q117">
            <v>49091</v>
          </cell>
          <cell r="R117">
            <v>45915</v>
          </cell>
          <cell r="S117">
            <v>45915</v>
          </cell>
          <cell r="T117">
            <v>45915</v>
          </cell>
          <cell r="V117" t="str">
            <v>보통인부</v>
          </cell>
          <cell r="W117" t="str">
            <v>우즈베키스탄</v>
          </cell>
        </row>
        <row r="118">
          <cell r="A118" t="str">
            <v>박태훈</v>
          </cell>
          <cell r="B118" t="str">
            <v>파주시 와동동 205,운성2차동문@,202-2004</v>
          </cell>
          <cell r="C118" t="str">
            <v>660625-1331211</v>
          </cell>
          <cell r="D118" t="str">
            <v>010-9640-5563</v>
          </cell>
          <cell r="E118">
            <v>150000</v>
          </cell>
          <cell r="F118" t="str">
            <v>남</v>
          </cell>
          <cell r="G118">
            <v>61</v>
          </cell>
          <cell r="H118" t="str">
            <v>-</v>
          </cell>
          <cell r="J118" t="str">
            <v>용역</v>
          </cell>
          <cell r="K118" t="str">
            <v>영서인력</v>
          </cell>
          <cell r="O118">
            <v>43354</v>
          </cell>
          <cell r="Q118" t="str">
            <v/>
          </cell>
          <cell r="S118">
            <v>45917</v>
          </cell>
          <cell r="T118">
            <v>45917</v>
          </cell>
          <cell r="V118" t="str">
            <v>보통인부</v>
          </cell>
        </row>
        <row r="119">
          <cell r="A119" t="str">
            <v>신용식</v>
          </cell>
          <cell r="B119" t="str">
            <v>정선군 남면 지장천로76,7-402</v>
          </cell>
          <cell r="C119" t="str">
            <v>601123-1332730</v>
          </cell>
          <cell r="D119" t="str">
            <v>010-9062-5327</v>
          </cell>
          <cell r="E119">
            <v>150000</v>
          </cell>
          <cell r="F119" t="str">
            <v>남</v>
          </cell>
          <cell r="G119">
            <v>67</v>
          </cell>
          <cell r="H119" t="str">
            <v>-</v>
          </cell>
          <cell r="J119" t="str">
            <v>용역</v>
          </cell>
          <cell r="K119" t="str">
            <v>영서인력</v>
          </cell>
          <cell r="O119">
            <v>41893</v>
          </cell>
          <cell r="Q119" t="str">
            <v/>
          </cell>
          <cell r="S119">
            <v>45917</v>
          </cell>
          <cell r="T119">
            <v>45917</v>
          </cell>
          <cell r="V119" t="str">
            <v>보통인부</v>
          </cell>
        </row>
        <row r="120">
          <cell r="A120" t="str">
            <v>윤석진</v>
          </cell>
          <cell r="B120" t="str">
            <v>원주시 개운동328-1,원흥3차A302-512</v>
          </cell>
          <cell r="C120" t="str">
            <v>660903-1326022</v>
          </cell>
          <cell r="D120" t="str">
            <v>010-9520-9100</v>
          </cell>
          <cell r="E120">
            <v>150000</v>
          </cell>
          <cell r="F120" t="str">
            <v>남</v>
          </cell>
          <cell r="G120">
            <v>61</v>
          </cell>
          <cell r="H120" t="str">
            <v>-</v>
          </cell>
          <cell r="J120" t="str">
            <v>용역</v>
          </cell>
          <cell r="K120" t="str">
            <v>영서인력</v>
          </cell>
          <cell r="O120">
            <v>42866</v>
          </cell>
          <cell r="Q120" t="str">
            <v/>
          </cell>
          <cell r="S120">
            <v>45918</v>
          </cell>
          <cell r="T120">
            <v>45918</v>
          </cell>
          <cell r="V120" t="str">
            <v>보통인부</v>
          </cell>
        </row>
        <row r="121">
          <cell r="A121" t="str">
            <v>윤기출</v>
          </cell>
          <cell r="B121" t="str">
            <v>원주시 봉화로67,108-1904</v>
          </cell>
          <cell r="C121" t="str">
            <v>651001-1326010</v>
          </cell>
          <cell r="D121" t="str">
            <v>010-5385-7613</v>
          </cell>
          <cell r="E121">
            <v>150000</v>
          </cell>
          <cell r="F121" t="str">
            <v>남</v>
          </cell>
          <cell r="G121">
            <v>62</v>
          </cell>
          <cell r="H121" t="str">
            <v>-</v>
          </cell>
          <cell r="J121" t="str">
            <v>용역</v>
          </cell>
          <cell r="K121" t="str">
            <v>영서인력</v>
          </cell>
          <cell r="O121">
            <v>44876</v>
          </cell>
          <cell r="Q121" t="str">
            <v/>
          </cell>
          <cell r="S121">
            <v>45918</v>
          </cell>
          <cell r="T121">
            <v>45918</v>
          </cell>
          <cell r="V121" t="str">
            <v>보통인부</v>
          </cell>
        </row>
        <row r="122">
          <cell r="A122" t="str">
            <v>이동식</v>
          </cell>
          <cell r="B122" t="str">
            <v>원주시 나비허리길49-4,202호</v>
          </cell>
          <cell r="C122" t="str">
            <v>690106-5100271</v>
          </cell>
          <cell r="D122" t="str">
            <v>010-9168-4986</v>
          </cell>
          <cell r="E122">
            <v>150000</v>
          </cell>
          <cell r="F122" t="str">
            <v>남</v>
          </cell>
          <cell r="G122">
            <v>58</v>
          </cell>
          <cell r="H122" t="str">
            <v>외국인</v>
          </cell>
          <cell r="I122" t="str">
            <v>LI DONGZHI</v>
          </cell>
          <cell r="J122" t="str">
            <v>용역</v>
          </cell>
          <cell r="K122" t="str">
            <v>영서인력</v>
          </cell>
          <cell r="O122">
            <v>45108</v>
          </cell>
          <cell r="P122" t="str">
            <v>재외동포F4</v>
          </cell>
          <cell r="Q122">
            <v>46424</v>
          </cell>
          <cell r="R122">
            <v>45922</v>
          </cell>
          <cell r="S122">
            <v>45922</v>
          </cell>
          <cell r="T122">
            <v>45922</v>
          </cell>
          <cell r="V122" t="str">
            <v>보통인부</v>
          </cell>
          <cell r="W122" t="str">
            <v>중국</v>
          </cell>
        </row>
        <row r="123">
          <cell r="A123" t="str">
            <v>김정호87</v>
          </cell>
          <cell r="B123" t="str">
            <v>원주시 예술관길32,202-103</v>
          </cell>
          <cell r="C123" t="str">
            <v>871014-1031514</v>
          </cell>
          <cell r="D123" t="str">
            <v>010-8341-5184</v>
          </cell>
          <cell r="E123">
            <v>150000</v>
          </cell>
          <cell r="F123" t="str">
            <v>남</v>
          </cell>
          <cell r="G123">
            <v>40</v>
          </cell>
          <cell r="H123" t="str">
            <v>-</v>
          </cell>
          <cell r="J123" t="str">
            <v>용역</v>
          </cell>
          <cell r="K123" t="str">
            <v>영서인력</v>
          </cell>
          <cell r="O123">
            <v>43756</v>
          </cell>
          <cell r="Q123" t="str">
            <v/>
          </cell>
          <cell r="R123">
            <v>45922</v>
          </cell>
          <cell r="S123">
            <v>45922</v>
          </cell>
          <cell r="T123">
            <v>45922</v>
          </cell>
          <cell r="V123" t="str">
            <v>보통인부</v>
          </cell>
        </row>
        <row r="124">
          <cell r="A124" t="str">
            <v>김천석</v>
          </cell>
          <cell r="B124" t="str">
            <v>제천시 백운면 구하산로7길30-20</v>
          </cell>
          <cell r="C124" t="str">
            <v>701104-1397119</v>
          </cell>
          <cell r="D124" t="str">
            <v>010-4598-9200</v>
          </cell>
          <cell r="E124">
            <v>150000</v>
          </cell>
          <cell r="F124" t="str">
            <v>남</v>
          </cell>
          <cell r="G124">
            <v>57</v>
          </cell>
          <cell r="H124" t="str">
            <v>-</v>
          </cell>
          <cell r="J124" t="str">
            <v>용역</v>
          </cell>
          <cell r="K124" t="str">
            <v>영서인력</v>
          </cell>
          <cell r="O124">
            <v>42437</v>
          </cell>
          <cell r="Q124" t="str">
            <v/>
          </cell>
          <cell r="S124">
            <v>45923</v>
          </cell>
          <cell r="T124">
            <v>45923</v>
          </cell>
          <cell r="V124" t="str">
            <v>보통인부</v>
          </cell>
        </row>
        <row r="125">
          <cell r="A125" t="str">
            <v>김정수</v>
          </cell>
          <cell r="B125" t="str">
            <v>원주시 호저면 호저호338-2</v>
          </cell>
          <cell r="C125" t="str">
            <v>931018-1325813</v>
          </cell>
          <cell r="D125" t="str">
            <v>010-8142-6630</v>
          </cell>
          <cell r="E125">
            <v>150000</v>
          </cell>
          <cell r="F125" t="str">
            <v>남</v>
          </cell>
          <cell r="G125">
            <v>34</v>
          </cell>
          <cell r="H125" t="str">
            <v>-</v>
          </cell>
          <cell r="J125" t="str">
            <v>용역</v>
          </cell>
          <cell r="K125" t="str">
            <v>영서인력</v>
          </cell>
          <cell r="O125">
            <v>42744</v>
          </cell>
          <cell r="Q125" t="str">
            <v/>
          </cell>
          <cell r="S125">
            <v>45924</v>
          </cell>
          <cell r="T125">
            <v>45924</v>
          </cell>
          <cell r="V125" t="str">
            <v>보통인부</v>
          </cell>
        </row>
        <row r="126">
          <cell r="A126" t="str">
            <v>김균하</v>
          </cell>
          <cell r="B126" t="str">
            <v>포항시 남구 오천읍 원동로75-12</v>
          </cell>
          <cell r="C126" t="str">
            <v>830327-1268429</v>
          </cell>
          <cell r="D126" t="str">
            <v>010-7908-2311</v>
          </cell>
          <cell r="E126">
            <v>150000</v>
          </cell>
          <cell r="F126" t="str">
            <v>남</v>
          </cell>
          <cell r="G126">
            <v>44</v>
          </cell>
          <cell r="H126" t="str">
            <v>-</v>
          </cell>
          <cell r="J126" t="str">
            <v>용역</v>
          </cell>
          <cell r="K126" t="str">
            <v>영서인력</v>
          </cell>
          <cell r="O126">
            <v>43614</v>
          </cell>
          <cell r="Q126" t="str">
            <v/>
          </cell>
          <cell r="S126">
            <v>45924</v>
          </cell>
          <cell r="T126">
            <v>45924</v>
          </cell>
          <cell r="V126" t="str">
            <v>보통인부</v>
          </cell>
        </row>
        <row r="127">
          <cell r="A127" t="str">
            <v>이영익</v>
          </cell>
          <cell r="B127" t="str">
            <v>삼척시 동해대로 4044-13,103-103</v>
          </cell>
          <cell r="C127" t="str">
            <v>781005-1348320</v>
          </cell>
          <cell r="D127" t="str">
            <v>010-3390-5862</v>
          </cell>
          <cell r="E127">
            <v>150000</v>
          </cell>
          <cell r="F127" t="str">
            <v>남</v>
          </cell>
          <cell r="G127">
            <v>49</v>
          </cell>
          <cell r="H127" t="str">
            <v>-</v>
          </cell>
          <cell r="J127" t="str">
            <v>용역</v>
          </cell>
          <cell r="K127" t="str">
            <v>영서인력</v>
          </cell>
          <cell r="O127">
            <v>41719</v>
          </cell>
          <cell r="Q127" t="str">
            <v/>
          </cell>
          <cell r="S127">
            <v>45925</v>
          </cell>
          <cell r="T127">
            <v>45925</v>
          </cell>
          <cell r="V127" t="str">
            <v>보통인부</v>
          </cell>
        </row>
        <row r="128">
          <cell r="A128" t="str">
            <v>안관희</v>
          </cell>
          <cell r="B128" t="str">
            <v>원주시 동진골4길39</v>
          </cell>
          <cell r="C128" t="str">
            <v>680415-1268610</v>
          </cell>
          <cell r="D128" t="str">
            <v>010-6218-4795</v>
          </cell>
          <cell r="E128">
            <v>150000</v>
          </cell>
          <cell r="F128" t="str">
            <v>남</v>
          </cell>
          <cell r="G128">
            <v>59</v>
          </cell>
          <cell r="H128" t="str">
            <v>-</v>
          </cell>
          <cell r="J128" t="str">
            <v>용역</v>
          </cell>
          <cell r="K128" t="str">
            <v>영서인력</v>
          </cell>
          <cell r="O128">
            <v>42137</v>
          </cell>
          <cell r="Q128" t="str">
            <v/>
          </cell>
          <cell r="S128">
            <v>45926</v>
          </cell>
          <cell r="T128">
            <v>45926</v>
          </cell>
          <cell r="V128" t="str">
            <v>보통인부</v>
          </cell>
        </row>
        <row r="129">
          <cell r="A129" t="str">
            <v>이칠환</v>
          </cell>
          <cell r="B129" t="str">
            <v>전북 전주시 덕진구 우아7길33-20</v>
          </cell>
          <cell r="C129" t="str">
            <v>670929-1903616</v>
          </cell>
          <cell r="D129" t="str">
            <v>010-4982-3129</v>
          </cell>
          <cell r="E129">
            <v>150000</v>
          </cell>
          <cell r="F129" t="str">
            <v>남</v>
          </cell>
          <cell r="G129">
            <v>60</v>
          </cell>
          <cell r="H129" t="str">
            <v>-</v>
          </cell>
          <cell r="J129" t="str">
            <v>용역</v>
          </cell>
          <cell r="K129" t="str">
            <v>영서인력</v>
          </cell>
          <cell r="O129">
            <v>43535</v>
          </cell>
          <cell r="Q129" t="str">
            <v/>
          </cell>
          <cell r="S129">
            <v>45926</v>
          </cell>
          <cell r="T129">
            <v>45926</v>
          </cell>
          <cell r="V129" t="str">
            <v>보통인부</v>
          </cell>
        </row>
        <row r="130">
          <cell r="A130" t="str">
            <v>안득광</v>
          </cell>
          <cell r="B130" t="str">
            <v>부산시 해운대구 재반로10-1,206</v>
          </cell>
          <cell r="C130" t="str">
            <v>800314-1411717</v>
          </cell>
          <cell r="D130" t="str">
            <v>010-3336-5422</v>
          </cell>
          <cell r="E130">
            <v>150000</v>
          </cell>
          <cell r="F130" t="str">
            <v>남</v>
          </cell>
          <cell r="G130">
            <v>47</v>
          </cell>
          <cell r="H130" t="str">
            <v>-</v>
          </cell>
          <cell r="J130" t="str">
            <v>용역</v>
          </cell>
          <cell r="K130" t="str">
            <v>영서인력</v>
          </cell>
          <cell r="O130">
            <v>44062</v>
          </cell>
          <cell r="Q130" t="str">
            <v/>
          </cell>
          <cell r="S130">
            <v>45926</v>
          </cell>
          <cell r="T130">
            <v>45926</v>
          </cell>
          <cell r="V130" t="str">
            <v>보통인부</v>
          </cell>
        </row>
        <row r="131">
          <cell r="A131" t="str">
            <v>이승규</v>
          </cell>
          <cell r="B131" t="str">
            <v>원주시 이화4길 84-10</v>
          </cell>
          <cell r="C131" t="str">
            <v>940524-1865925</v>
          </cell>
          <cell r="D131" t="str">
            <v>010-7235-5631</v>
          </cell>
          <cell r="E131">
            <v>150000</v>
          </cell>
          <cell r="F131" t="str">
            <v>남</v>
          </cell>
          <cell r="G131">
            <v>33</v>
          </cell>
          <cell r="H131" t="str">
            <v>-</v>
          </cell>
          <cell r="J131" t="str">
            <v>용역</v>
          </cell>
          <cell r="K131" t="str">
            <v>영서인력</v>
          </cell>
          <cell r="O131">
            <v>44505</v>
          </cell>
          <cell r="Q131" t="str">
            <v/>
          </cell>
          <cell r="S131">
            <v>45929</v>
          </cell>
          <cell r="T131">
            <v>45929</v>
          </cell>
          <cell r="V131" t="str">
            <v>보통인부</v>
          </cell>
        </row>
        <row r="132">
          <cell r="A132" t="str">
            <v>연상모</v>
          </cell>
          <cell r="B132" t="str">
            <v>원주시 치악로1504번길13-2,401</v>
          </cell>
          <cell r="C132" t="str">
            <v>731211-1390813</v>
          </cell>
          <cell r="D132" t="str">
            <v>010-7236-2684</v>
          </cell>
          <cell r="E132">
            <v>150000</v>
          </cell>
          <cell r="F132" t="str">
            <v>남</v>
          </cell>
          <cell r="G132">
            <v>54</v>
          </cell>
          <cell r="H132" t="str">
            <v>-</v>
          </cell>
          <cell r="J132" t="str">
            <v>용역</v>
          </cell>
          <cell r="K132" t="str">
            <v>영서인력</v>
          </cell>
          <cell r="O132">
            <v>41837</v>
          </cell>
          <cell r="Q132" t="str">
            <v/>
          </cell>
          <cell r="S132">
            <v>45929</v>
          </cell>
          <cell r="T132">
            <v>45929</v>
          </cell>
          <cell r="V132" t="str">
            <v>보통인부</v>
          </cell>
        </row>
        <row r="133">
          <cell r="A133" t="str">
            <v>김대성</v>
          </cell>
          <cell r="B133" t="str">
            <v>원주시 중앙로14</v>
          </cell>
          <cell r="C133" t="str">
            <v>661014-1067818</v>
          </cell>
          <cell r="D133" t="str">
            <v>010-5802-6411</v>
          </cell>
          <cell r="E133">
            <v>150000</v>
          </cell>
          <cell r="F133" t="str">
            <v>남</v>
          </cell>
          <cell r="G133">
            <v>61</v>
          </cell>
          <cell r="H133" t="str">
            <v>-</v>
          </cell>
          <cell r="J133" t="str">
            <v>용역</v>
          </cell>
          <cell r="K133" t="str">
            <v>영서인력</v>
          </cell>
          <cell r="O133">
            <v>41792</v>
          </cell>
          <cell r="Q133" t="str">
            <v/>
          </cell>
          <cell r="S133">
            <v>45930</v>
          </cell>
          <cell r="T133">
            <v>45930</v>
          </cell>
          <cell r="V133" t="str">
            <v>보통인부</v>
          </cell>
        </row>
        <row r="134">
          <cell r="A134" t="str">
            <v>방대균</v>
          </cell>
          <cell r="B134" t="str">
            <v>원주시 문막읍 동화리1530-2,1동-1610</v>
          </cell>
          <cell r="C134" t="str">
            <v>710906-1329214</v>
          </cell>
          <cell r="D134" t="str">
            <v>010-6695-9428</v>
          </cell>
          <cell r="E134">
            <v>150000</v>
          </cell>
          <cell r="F134" t="str">
            <v>남</v>
          </cell>
          <cell r="G134">
            <v>56</v>
          </cell>
          <cell r="H134" t="str">
            <v>-</v>
          </cell>
          <cell r="J134" t="str">
            <v>용역</v>
          </cell>
          <cell r="K134" t="str">
            <v>영서인력</v>
          </cell>
          <cell r="O134">
            <v>41956</v>
          </cell>
          <cell r="Q134" t="str">
            <v/>
          </cell>
          <cell r="S134">
            <v>45930</v>
          </cell>
          <cell r="T134">
            <v>45930</v>
          </cell>
          <cell r="V134" t="str">
            <v>보통인부</v>
          </cell>
        </row>
        <row r="135">
          <cell r="A135" t="str">
            <v>최숙희</v>
          </cell>
          <cell r="B135" t="str">
            <v>원주시 늘품로146-13</v>
          </cell>
          <cell r="C135" t="str">
            <v>650304-2324211</v>
          </cell>
          <cell r="D135" t="str">
            <v>010-2698-0304</v>
          </cell>
          <cell r="E135">
            <v>140000</v>
          </cell>
          <cell r="F135" t="str">
            <v>여</v>
          </cell>
          <cell r="G135">
            <v>62</v>
          </cell>
          <cell r="H135" t="str">
            <v>-</v>
          </cell>
          <cell r="J135" t="str">
            <v>용역</v>
          </cell>
          <cell r="K135" t="str">
            <v>영서인력</v>
          </cell>
          <cell r="O135">
            <v>45048</v>
          </cell>
          <cell r="Q135" t="str">
            <v/>
          </cell>
          <cell r="S135">
            <v>45930</v>
          </cell>
          <cell r="T135">
            <v>45930</v>
          </cell>
          <cell r="V135" t="str">
            <v>보통인부</v>
          </cell>
        </row>
        <row r="136">
          <cell r="A136" t="str">
            <v>한아름</v>
          </cell>
          <cell r="B136" t="str">
            <v>원주시 북원로2475번길73</v>
          </cell>
          <cell r="C136" t="str">
            <v>860601-1046715</v>
          </cell>
          <cell r="D136" t="str">
            <v>010-5909-2264</v>
          </cell>
          <cell r="E136">
            <v>150000</v>
          </cell>
          <cell r="F136" t="str">
            <v>남</v>
          </cell>
          <cell r="G136">
            <v>41</v>
          </cell>
          <cell r="H136" t="str">
            <v>-</v>
          </cell>
          <cell r="J136" t="str">
            <v>용역</v>
          </cell>
          <cell r="K136" t="str">
            <v>영서인력</v>
          </cell>
          <cell r="O136">
            <v>45356</v>
          </cell>
          <cell r="Q136" t="str">
            <v/>
          </cell>
          <cell r="S136">
            <v>45931</v>
          </cell>
          <cell r="T136">
            <v>45931</v>
          </cell>
          <cell r="V136" t="str">
            <v>보통인부</v>
          </cell>
        </row>
        <row r="137">
          <cell r="A137" t="str">
            <v>심재춘</v>
          </cell>
          <cell r="B137" t="str">
            <v>원주시 천매봉길118-107</v>
          </cell>
          <cell r="C137" t="str">
            <v>670221-1621920</v>
          </cell>
          <cell r="D137" t="str">
            <v>010-5717-0603</v>
          </cell>
          <cell r="E137">
            <v>150000</v>
          </cell>
          <cell r="F137" t="str">
            <v>남</v>
          </cell>
          <cell r="G137">
            <v>60</v>
          </cell>
          <cell r="H137" t="str">
            <v>-</v>
          </cell>
          <cell r="J137" t="str">
            <v>용역</v>
          </cell>
          <cell r="K137" t="str">
            <v>영서인력</v>
          </cell>
          <cell r="O137">
            <v>42142</v>
          </cell>
          <cell r="Q137" t="str">
            <v/>
          </cell>
          <cell r="S137">
            <v>45931</v>
          </cell>
          <cell r="T137">
            <v>45931</v>
          </cell>
          <cell r="V137" t="str">
            <v>보통인부</v>
          </cell>
        </row>
        <row r="138">
          <cell r="A138" t="str">
            <v>김유신</v>
          </cell>
          <cell r="B138" t="str">
            <v>서울시 영등포구 대림동 738-4</v>
          </cell>
          <cell r="C138" t="str">
            <v>710921-1524511</v>
          </cell>
          <cell r="D138" t="str">
            <v>010-4504-7832</v>
          </cell>
          <cell r="E138">
            <v>150000</v>
          </cell>
          <cell r="F138" t="str">
            <v>남</v>
          </cell>
          <cell r="G138">
            <v>56</v>
          </cell>
          <cell r="H138" t="str">
            <v>-</v>
          </cell>
          <cell r="J138" t="str">
            <v>용역</v>
          </cell>
          <cell r="K138" t="str">
            <v>영서인력</v>
          </cell>
          <cell r="O138">
            <v>45741</v>
          </cell>
          <cell r="Q138" t="str">
            <v/>
          </cell>
          <cell r="S138">
            <v>45932</v>
          </cell>
          <cell r="T138">
            <v>45932</v>
          </cell>
          <cell r="V138" t="str">
            <v>보통인부</v>
          </cell>
        </row>
        <row r="139">
          <cell r="A139" t="str">
            <v>최태훈</v>
          </cell>
          <cell r="B139" t="str">
            <v>원주시 남원로527번길61,101-508</v>
          </cell>
          <cell r="C139" t="str">
            <v>921225-1267522</v>
          </cell>
          <cell r="D139" t="str">
            <v>010-8074-9783</v>
          </cell>
          <cell r="E139">
            <v>150000</v>
          </cell>
          <cell r="F139" t="str">
            <v>남</v>
          </cell>
          <cell r="G139">
            <v>35</v>
          </cell>
          <cell r="H139" t="str">
            <v>-</v>
          </cell>
          <cell r="J139" t="str">
            <v>용역</v>
          </cell>
          <cell r="K139" t="str">
            <v>영서인력</v>
          </cell>
          <cell r="O139">
            <v>43150</v>
          </cell>
          <cell r="Q139" t="str">
            <v/>
          </cell>
          <cell r="S139">
            <v>45932</v>
          </cell>
          <cell r="T139">
            <v>45932</v>
          </cell>
          <cell r="V139" t="str">
            <v>보통인부</v>
          </cell>
        </row>
        <row r="140">
          <cell r="A140" t="str">
            <v>이관우</v>
          </cell>
          <cell r="B140" t="str">
            <v>원주시 학성동 203-8</v>
          </cell>
          <cell r="C140" t="str">
            <v>680111-1328415</v>
          </cell>
          <cell r="D140" t="str">
            <v>010-7324-3662</v>
          </cell>
          <cell r="E140">
            <v>150000</v>
          </cell>
          <cell r="F140" t="str">
            <v>남</v>
          </cell>
          <cell r="G140">
            <v>59</v>
          </cell>
          <cell r="H140" t="str">
            <v>-</v>
          </cell>
          <cell r="J140" t="str">
            <v>용역</v>
          </cell>
          <cell r="K140" t="str">
            <v>영서인력</v>
          </cell>
          <cell r="O140">
            <v>41325</v>
          </cell>
          <cell r="Q140" t="str">
            <v/>
          </cell>
          <cell r="S140">
            <v>45932</v>
          </cell>
          <cell r="T140">
            <v>45932</v>
          </cell>
          <cell r="V140" t="str">
            <v>보통인부</v>
          </cell>
        </row>
        <row r="141">
          <cell r="A141" t="str">
            <v>김상환</v>
          </cell>
          <cell r="B141" t="str">
            <v>원주시 원문로176,101-1502</v>
          </cell>
          <cell r="C141" t="str">
            <v>661115-1327019</v>
          </cell>
          <cell r="D141" t="str">
            <v>010-3214-1445</v>
          </cell>
          <cell r="E141">
            <v>150000</v>
          </cell>
          <cell r="F141" t="str">
            <v>남</v>
          </cell>
          <cell r="G141">
            <v>61</v>
          </cell>
          <cell r="H141" t="str">
            <v>-</v>
          </cell>
          <cell r="J141" t="str">
            <v>용역</v>
          </cell>
          <cell r="K141" t="str">
            <v>영서인력</v>
          </cell>
          <cell r="O141">
            <v>43794</v>
          </cell>
          <cell r="Q141" t="str">
            <v/>
          </cell>
          <cell r="S141">
            <v>45933</v>
          </cell>
          <cell r="T141">
            <v>45933</v>
          </cell>
          <cell r="V141" t="str">
            <v>보통인부</v>
          </cell>
        </row>
        <row r="142">
          <cell r="A142" t="str">
            <v>문주용</v>
          </cell>
          <cell r="B142" t="str">
            <v>원주시 무실로55번길65,101-1205</v>
          </cell>
          <cell r="C142" t="str">
            <v>690703-1912422</v>
          </cell>
          <cell r="D142" t="str">
            <v>010-9013-1994</v>
          </cell>
          <cell r="E142">
            <v>150000</v>
          </cell>
          <cell r="F142" t="str">
            <v>남</v>
          </cell>
          <cell r="G142">
            <v>58</v>
          </cell>
          <cell r="H142" t="str">
            <v>-</v>
          </cell>
          <cell r="J142" t="str">
            <v>용역</v>
          </cell>
          <cell r="K142" t="str">
            <v>영서인력</v>
          </cell>
          <cell r="O142">
            <v>41459</v>
          </cell>
          <cell r="Q142" t="str">
            <v/>
          </cell>
          <cell r="S142">
            <v>45933</v>
          </cell>
          <cell r="T142">
            <v>45933</v>
          </cell>
          <cell r="V142" t="str">
            <v>보통인부</v>
          </cell>
        </row>
        <row r="143">
          <cell r="A143" t="str">
            <v>홍성락</v>
          </cell>
          <cell r="B143" t="str">
            <v>원주시 시청로64,103-105</v>
          </cell>
          <cell r="C143" t="str">
            <v>721029-1777212</v>
          </cell>
          <cell r="D143" t="str">
            <v>010-4527-1256</v>
          </cell>
          <cell r="E143">
            <v>150000</v>
          </cell>
          <cell r="F143" t="str">
            <v>남</v>
          </cell>
          <cell r="G143">
            <v>55</v>
          </cell>
          <cell r="H143" t="str">
            <v>-</v>
          </cell>
          <cell r="J143" t="str">
            <v>용역</v>
          </cell>
          <cell r="K143" t="str">
            <v>영서인력</v>
          </cell>
          <cell r="O143">
            <v>42643</v>
          </cell>
          <cell r="Q143" t="str">
            <v/>
          </cell>
          <cell r="S143">
            <v>45933</v>
          </cell>
          <cell r="T143">
            <v>45933</v>
          </cell>
          <cell r="V143" t="str">
            <v>보통인부</v>
          </cell>
        </row>
        <row r="144">
          <cell r="A144" t="str">
            <v>오헌권</v>
          </cell>
          <cell r="B144" t="str">
            <v>원주시 삼광1길27-2</v>
          </cell>
          <cell r="C144" t="str">
            <v>621020-1531937</v>
          </cell>
          <cell r="D144" t="str">
            <v>010-2898-5051</v>
          </cell>
          <cell r="E144">
            <v>150000</v>
          </cell>
          <cell r="F144" t="str">
            <v>남</v>
          </cell>
          <cell r="G144">
            <v>65</v>
          </cell>
          <cell r="H144" t="str">
            <v>-</v>
          </cell>
          <cell r="J144" t="str">
            <v>용역</v>
          </cell>
          <cell r="K144" t="str">
            <v>영서인력</v>
          </cell>
          <cell r="O144">
            <v>41474</v>
          </cell>
          <cell r="Q144" t="str">
            <v/>
          </cell>
          <cell r="S144">
            <v>45933</v>
          </cell>
          <cell r="T144">
            <v>45933</v>
          </cell>
          <cell r="V144" t="str">
            <v>보통인부</v>
          </cell>
        </row>
        <row r="145">
          <cell r="A145" t="str">
            <v>이석주</v>
          </cell>
          <cell r="B145" t="str">
            <v>원주시 소초면 북원로 3096-13</v>
          </cell>
          <cell r="C145" t="str">
            <v>630801-1325629</v>
          </cell>
          <cell r="D145" t="str">
            <v>010-7667-6312</v>
          </cell>
          <cell r="E145">
            <v>150000</v>
          </cell>
          <cell r="F145" t="str">
            <v>남</v>
          </cell>
          <cell r="G145">
            <v>64</v>
          </cell>
          <cell r="H145" t="str">
            <v>-</v>
          </cell>
          <cell r="J145" t="str">
            <v>용역</v>
          </cell>
          <cell r="K145" t="str">
            <v>영서인력</v>
          </cell>
          <cell r="O145">
            <v>43483</v>
          </cell>
          <cell r="Q145" t="str">
            <v/>
          </cell>
          <cell r="R145">
            <v>45945</v>
          </cell>
          <cell r="S145">
            <v>45945</v>
          </cell>
          <cell r="T145">
            <v>45945</v>
          </cell>
          <cell r="V145" t="str">
            <v>보통인부</v>
          </cell>
        </row>
        <row r="146">
          <cell r="A146" t="str">
            <v>김광환</v>
          </cell>
          <cell r="B146" t="str">
            <v>원주시 현충로 58번길 29,104-1403</v>
          </cell>
          <cell r="C146" t="str">
            <v>680415-1323927</v>
          </cell>
          <cell r="D146" t="str">
            <v>010-6574-5675</v>
          </cell>
          <cell r="E146">
            <v>150000</v>
          </cell>
          <cell r="F146" t="str">
            <v>남</v>
          </cell>
          <cell r="G146">
            <v>59</v>
          </cell>
          <cell r="H146" t="str">
            <v>-</v>
          </cell>
          <cell r="J146" t="str">
            <v>용역</v>
          </cell>
          <cell r="K146" t="str">
            <v>영서인력</v>
          </cell>
          <cell r="O146">
            <v>42620</v>
          </cell>
          <cell r="Q146" t="str">
            <v/>
          </cell>
          <cell r="R146">
            <v>45945</v>
          </cell>
          <cell r="S146">
            <v>45945</v>
          </cell>
          <cell r="T146">
            <v>45945</v>
          </cell>
          <cell r="V146" t="str">
            <v>보통인부</v>
          </cell>
        </row>
        <row r="147">
          <cell r="A147" t="str">
            <v>박병권</v>
          </cell>
          <cell r="B147" t="str">
            <v>원주시 흥양로51번길18,203-1106(태장주공2아파트)</v>
          </cell>
          <cell r="C147" t="str">
            <v>650126-1324011</v>
          </cell>
          <cell r="D147" t="str">
            <v>010-2244-0603</v>
          </cell>
          <cell r="E147">
            <v>150000</v>
          </cell>
          <cell r="F147" t="str">
            <v>남</v>
          </cell>
          <cell r="G147">
            <v>62</v>
          </cell>
          <cell r="H147" t="str">
            <v>-</v>
          </cell>
          <cell r="J147" t="str">
            <v>용역</v>
          </cell>
          <cell r="K147" t="str">
            <v>영서인력</v>
          </cell>
          <cell r="O147">
            <v>41269</v>
          </cell>
          <cell r="Q147" t="str">
            <v/>
          </cell>
          <cell r="R147">
            <v>45945</v>
          </cell>
          <cell r="S147">
            <v>45945</v>
          </cell>
          <cell r="T147">
            <v>45945</v>
          </cell>
          <cell r="V147" t="str">
            <v>보통인부</v>
          </cell>
        </row>
        <row r="148">
          <cell r="A148" t="str">
            <v>이성환</v>
          </cell>
          <cell r="B148" t="str">
            <v>서울 중랑구 봉화산로27다길 9-6,(중화동)</v>
          </cell>
          <cell r="C148" t="str">
            <v>660117-1094811</v>
          </cell>
          <cell r="D148" t="str">
            <v>010-5865-4805</v>
          </cell>
          <cell r="E148">
            <v>150000</v>
          </cell>
          <cell r="F148" t="str">
            <v>남</v>
          </cell>
          <cell r="G148">
            <v>61</v>
          </cell>
          <cell r="H148" t="str">
            <v>-</v>
          </cell>
          <cell r="J148" t="str">
            <v>용역</v>
          </cell>
          <cell r="K148" t="str">
            <v>영서인력</v>
          </cell>
          <cell r="O148">
            <v>42888</v>
          </cell>
          <cell r="Q148" t="str">
            <v/>
          </cell>
          <cell r="S148">
            <v>45947</v>
          </cell>
          <cell r="T148">
            <v>45947</v>
          </cell>
          <cell r="V148" t="str">
            <v>보통인부</v>
          </cell>
        </row>
        <row r="149">
          <cell r="A149" t="str">
            <v>윤성중</v>
          </cell>
          <cell r="B149" t="str">
            <v>강원도 원주시 문막읍 문막리 538-1</v>
          </cell>
          <cell r="C149" t="str">
            <v>670820-1268221</v>
          </cell>
          <cell r="D149" t="str">
            <v>010-4637-0228</v>
          </cell>
          <cell r="E149">
            <v>150000</v>
          </cell>
          <cell r="F149" t="str">
            <v>남</v>
          </cell>
          <cell r="G149">
            <v>60</v>
          </cell>
          <cell r="H149" t="str">
            <v>-</v>
          </cell>
          <cell r="J149" t="str">
            <v>용역</v>
          </cell>
          <cell r="K149" t="str">
            <v>영서인력</v>
          </cell>
          <cell r="O149">
            <v>41688</v>
          </cell>
          <cell r="Q149" t="str">
            <v/>
          </cell>
          <cell r="S149">
            <v>45947</v>
          </cell>
          <cell r="T149">
            <v>45947</v>
          </cell>
          <cell r="V149" t="str">
            <v>보통인부</v>
          </cell>
        </row>
        <row r="150">
          <cell r="A150" t="str">
            <v>서명준</v>
          </cell>
          <cell r="B150" t="str">
            <v>강원도 원주시 학성길46, 102-602</v>
          </cell>
          <cell r="C150" t="str">
            <v>730202-1325815</v>
          </cell>
          <cell r="D150" t="str">
            <v>010-4320-9007</v>
          </cell>
          <cell r="E150">
            <v>150000</v>
          </cell>
          <cell r="F150" t="str">
            <v>남</v>
          </cell>
          <cell r="G150">
            <v>54</v>
          </cell>
          <cell r="H150" t="str">
            <v>-</v>
          </cell>
          <cell r="J150" t="str">
            <v>용역</v>
          </cell>
          <cell r="K150" t="str">
            <v>영서인력</v>
          </cell>
          <cell r="O150">
            <v>42545</v>
          </cell>
          <cell r="Q150" t="str">
            <v/>
          </cell>
          <cell r="R150">
            <v>45948</v>
          </cell>
          <cell r="S150">
            <v>45948</v>
          </cell>
          <cell r="T150">
            <v>45948</v>
          </cell>
          <cell r="V150" t="str">
            <v>보통인부</v>
          </cell>
        </row>
        <row r="151">
          <cell r="A151" t="str">
            <v>변재윤</v>
          </cell>
          <cell r="B151" t="str">
            <v>강원도 원주시 이화5길19</v>
          </cell>
          <cell r="C151" t="str">
            <v>650602-1539110</v>
          </cell>
          <cell r="D151" t="str">
            <v>010-6710-1032</v>
          </cell>
          <cell r="E151">
            <v>150000</v>
          </cell>
          <cell r="F151" t="str">
            <v>남</v>
          </cell>
          <cell r="G151">
            <v>62</v>
          </cell>
          <cell r="H151" t="str">
            <v>-</v>
          </cell>
          <cell r="J151" t="str">
            <v>용역</v>
          </cell>
          <cell r="K151" t="str">
            <v>영서인력</v>
          </cell>
          <cell r="O151">
            <v>42437</v>
          </cell>
          <cell r="Q151" t="str">
            <v/>
          </cell>
          <cell r="R151">
            <v>45957</v>
          </cell>
          <cell r="S151">
            <v>45957</v>
          </cell>
          <cell r="T151">
            <v>45957</v>
          </cell>
          <cell r="V151" t="str">
            <v>보통인부</v>
          </cell>
        </row>
        <row r="152">
          <cell r="A152" t="str">
            <v>박선욱</v>
          </cell>
          <cell r="B152" t="str">
            <v xml:space="preserve">원주시 문막읍 건등로 11-4 </v>
          </cell>
          <cell r="C152" t="str">
            <v>660115-1326314</v>
          </cell>
          <cell r="D152" t="str">
            <v>010-4369-0989</v>
          </cell>
          <cell r="E152">
            <v>150000</v>
          </cell>
          <cell r="F152" t="str">
            <v>남</v>
          </cell>
          <cell r="G152">
            <v>61</v>
          </cell>
          <cell r="H152" t="str">
            <v>-</v>
          </cell>
          <cell r="J152" t="str">
            <v>용역</v>
          </cell>
          <cell r="K152" t="str">
            <v>영서인력</v>
          </cell>
          <cell r="O152">
            <v>44882</v>
          </cell>
          <cell r="Q152" t="str">
            <v/>
          </cell>
          <cell r="R152">
            <v>45959</v>
          </cell>
          <cell r="S152">
            <v>45959</v>
          </cell>
          <cell r="T152">
            <v>45959</v>
          </cell>
          <cell r="V152" t="str">
            <v>보통인부</v>
          </cell>
        </row>
        <row r="153">
          <cell r="A153" t="str">
            <v>장정철</v>
          </cell>
          <cell r="B153" t="str">
            <v>강원도 원주시 삼광1길 16</v>
          </cell>
          <cell r="C153" t="str">
            <v>850823-5760024</v>
          </cell>
          <cell r="D153" t="str">
            <v>010-8274-5110</v>
          </cell>
          <cell r="E153">
            <v>150000</v>
          </cell>
          <cell r="F153" t="str">
            <v>남</v>
          </cell>
          <cell r="G153">
            <v>42</v>
          </cell>
          <cell r="H153" t="str">
            <v>외국인</v>
          </cell>
          <cell r="I153" t="str">
            <v>ZHANG ZHENGZHE</v>
          </cell>
          <cell r="J153" t="str">
            <v>용역</v>
          </cell>
          <cell r="K153" t="str">
            <v>영서인력</v>
          </cell>
          <cell r="O153">
            <v>42983</v>
          </cell>
          <cell r="P153" t="str">
            <v>재외동포F4</v>
          </cell>
          <cell r="Q153">
            <v>46405</v>
          </cell>
          <cell r="R153">
            <v>45960</v>
          </cell>
          <cell r="S153">
            <v>45960</v>
          </cell>
          <cell r="T153">
            <v>45960</v>
          </cell>
          <cell r="V153" t="str">
            <v>보통인부</v>
          </cell>
          <cell r="W153" t="str">
            <v>중국</v>
          </cell>
        </row>
        <row r="154">
          <cell r="A154" t="str">
            <v>이경구</v>
          </cell>
          <cell r="B154" t="str">
            <v>울산 중구 구역전1길 7-12</v>
          </cell>
          <cell r="C154" t="str">
            <v>770301-1470812</v>
          </cell>
          <cell r="D154" t="str">
            <v>010-9861-1408</v>
          </cell>
          <cell r="E154">
            <v>150000</v>
          </cell>
          <cell r="F154" t="str">
            <v>남</v>
          </cell>
          <cell r="G154">
            <v>50</v>
          </cell>
          <cell r="H154" t="str">
            <v>-</v>
          </cell>
          <cell r="J154" t="str">
            <v>용역</v>
          </cell>
          <cell r="K154" t="str">
            <v>영서인력</v>
          </cell>
          <cell r="O154">
            <v>41810</v>
          </cell>
          <cell r="Q154" t="str">
            <v/>
          </cell>
          <cell r="S154">
            <v>45962</v>
          </cell>
          <cell r="T154">
            <v>45962</v>
          </cell>
          <cell r="V154" t="str">
            <v>보통인부</v>
          </cell>
        </row>
        <row r="155">
          <cell r="A155" t="str">
            <v>이해철</v>
          </cell>
          <cell r="B155" t="str">
            <v>강원도 동해시 발한동 강경@ 1-208</v>
          </cell>
          <cell r="C155" t="str">
            <v>630720-1345417</v>
          </cell>
          <cell r="D155" t="str">
            <v>010-9848-0790</v>
          </cell>
          <cell r="E155">
            <v>150000</v>
          </cell>
          <cell r="F155" t="str">
            <v>남</v>
          </cell>
          <cell r="G155">
            <v>64</v>
          </cell>
          <cell r="H155" t="str">
            <v>-</v>
          </cell>
          <cell r="J155" t="str">
            <v>용역</v>
          </cell>
          <cell r="K155" t="str">
            <v>영서인력</v>
          </cell>
          <cell r="O155">
            <v>41740</v>
          </cell>
          <cell r="R155">
            <v>45964</v>
          </cell>
          <cell r="S155">
            <v>45964</v>
          </cell>
          <cell r="T155">
            <v>45964</v>
          </cell>
          <cell r="V155" t="str">
            <v>보통인부</v>
          </cell>
        </row>
        <row r="156">
          <cell r="A156" t="str">
            <v>공봉두</v>
          </cell>
          <cell r="B156" t="str">
            <v>강원도 원주시 원문로 176</v>
          </cell>
          <cell r="C156" t="str">
            <v>651015-1524824</v>
          </cell>
          <cell r="D156" t="str">
            <v>010-8873-8499</v>
          </cell>
          <cell r="E156">
            <v>150000</v>
          </cell>
          <cell r="F156" t="str">
            <v>남</v>
          </cell>
          <cell r="G156">
            <v>62</v>
          </cell>
          <cell r="H156" t="str">
            <v>-</v>
          </cell>
          <cell r="J156" t="str">
            <v>용역</v>
          </cell>
          <cell r="K156" t="str">
            <v>영서인력</v>
          </cell>
          <cell r="O156">
            <v>42500</v>
          </cell>
          <cell r="R156">
            <v>45964</v>
          </cell>
          <cell r="S156">
            <v>45964</v>
          </cell>
          <cell r="T156">
            <v>45964</v>
          </cell>
          <cell r="V156" t="str">
            <v>보통인부</v>
          </cell>
        </row>
        <row r="157">
          <cell r="A157" t="str">
            <v>전정기</v>
          </cell>
          <cell r="B157" t="str">
            <v>강원도 원주시 평원로 144-1</v>
          </cell>
          <cell r="C157" t="str">
            <v>790730-1535718</v>
          </cell>
          <cell r="D157" t="str">
            <v>010-8365-0287</v>
          </cell>
          <cell r="E157">
            <v>150000</v>
          </cell>
          <cell r="F157" t="str">
            <v>남</v>
          </cell>
          <cell r="G157">
            <v>48</v>
          </cell>
          <cell r="H157" t="str">
            <v>-</v>
          </cell>
          <cell r="J157" t="str">
            <v>용역</v>
          </cell>
          <cell r="K157" t="str">
            <v>영서인력</v>
          </cell>
          <cell r="O157">
            <v>43328</v>
          </cell>
          <cell r="R157">
            <v>45966</v>
          </cell>
          <cell r="S157">
            <v>45966</v>
          </cell>
          <cell r="T157">
            <v>45966</v>
          </cell>
          <cell r="V157" t="str">
            <v>보통인부</v>
          </cell>
        </row>
        <row r="158">
          <cell r="A158" t="str">
            <v>원종석</v>
          </cell>
          <cell r="B158" t="str">
            <v>원주시 지정면 가곡로120 804-1304</v>
          </cell>
          <cell r="C158" t="str">
            <v>791207-1267616</v>
          </cell>
          <cell r="D158" t="str">
            <v>010-3794-9950</v>
          </cell>
          <cell r="E158">
            <v>150000</v>
          </cell>
          <cell r="F158" t="str">
            <v>남</v>
          </cell>
          <cell r="G158">
            <v>48</v>
          </cell>
          <cell r="H158" t="str">
            <v>-</v>
          </cell>
          <cell r="J158" t="str">
            <v>용역</v>
          </cell>
          <cell r="K158" t="str">
            <v>영서인력</v>
          </cell>
          <cell r="O158">
            <v>45825</v>
          </cell>
          <cell r="R158">
            <v>45971</v>
          </cell>
          <cell r="S158">
            <v>45971</v>
          </cell>
          <cell r="T158">
            <v>45971</v>
          </cell>
          <cell r="V158" t="str">
            <v>보통인부</v>
          </cell>
        </row>
        <row r="159">
          <cell r="A159" t="str">
            <v>김현민</v>
          </cell>
          <cell r="B159" t="str">
            <v>경북 구미시 장천면 강동로 207-9.405호</v>
          </cell>
          <cell r="C159" t="str">
            <v>620414-1798211</v>
          </cell>
          <cell r="D159" t="str">
            <v>010-5942-6212</v>
          </cell>
          <cell r="E159">
            <v>150000</v>
          </cell>
          <cell r="F159" t="str">
            <v>남</v>
          </cell>
          <cell r="G159">
            <v>65</v>
          </cell>
          <cell r="H159" t="str">
            <v>-</v>
          </cell>
          <cell r="J159" t="str">
            <v>용역</v>
          </cell>
          <cell r="K159" t="str">
            <v>영서인력</v>
          </cell>
          <cell r="O159">
            <v>42646</v>
          </cell>
          <cell r="R159">
            <v>45975</v>
          </cell>
          <cell r="S159">
            <v>45975</v>
          </cell>
          <cell r="T159">
            <v>45975</v>
          </cell>
          <cell r="V159" t="str">
            <v>보통인부</v>
          </cell>
        </row>
        <row r="160">
          <cell r="A160" t="str">
            <v>이지환</v>
          </cell>
          <cell r="B160" t="str">
            <v>원주시 나비허리길 120-10, 202호</v>
          </cell>
          <cell r="C160" t="str">
            <v>940114-1020418</v>
          </cell>
          <cell r="D160" t="str">
            <v>010-5900-2888</v>
          </cell>
          <cell r="E160">
            <v>150000</v>
          </cell>
          <cell r="F160" t="str">
            <v>남</v>
          </cell>
          <cell r="G160">
            <v>33</v>
          </cell>
          <cell r="H160" t="str">
            <v>-</v>
          </cell>
          <cell r="J160" t="str">
            <v>용역</v>
          </cell>
          <cell r="K160" t="str">
            <v>영서인력</v>
          </cell>
          <cell r="O160">
            <v>43987</v>
          </cell>
          <cell r="R160">
            <v>45975</v>
          </cell>
          <cell r="S160">
            <v>45975</v>
          </cell>
          <cell r="T160">
            <v>45975</v>
          </cell>
          <cell r="V160" t="str">
            <v>보통인부</v>
          </cell>
        </row>
        <row r="161">
          <cell r="A161" t="str">
            <v>김남순</v>
          </cell>
          <cell r="B161" t="str">
            <v>원주시 북원로 2321</v>
          </cell>
          <cell r="C161" t="str">
            <v>661230-1267913</v>
          </cell>
          <cell r="D161" t="str">
            <v>010-4698-2650</v>
          </cell>
          <cell r="E161">
            <v>150000</v>
          </cell>
          <cell r="F161" t="str">
            <v>남</v>
          </cell>
          <cell r="G161">
            <v>61</v>
          </cell>
          <cell r="H161" t="str">
            <v>-</v>
          </cell>
          <cell r="J161" t="str">
            <v>용역</v>
          </cell>
          <cell r="K161" t="str">
            <v>영서인력</v>
          </cell>
          <cell r="O161">
            <v>41379</v>
          </cell>
          <cell r="R161">
            <v>45978</v>
          </cell>
          <cell r="S161">
            <v>45978</v>
          </cell>
          <cell r="T161">
            <v>45978</v>
          </cell>
          <cell r="V161" t="str">
            <v>보통인부</v>
          </cell>
        </row>
        <row r="162">
          <cell r="A162" t="str">
            <v>손필성</v>
          </cell>
          <cell r="B162" t="str">
            <v>평택시 중앙로 301. 105-704</v>
          </cell>
          <cell r="C162" t="str">
            <v>601117-1624726</v>
          </cell>
          <cell r="D162" t="str">
            <v>010-5312-7170</v>
          </cell>
          <cell r="E162">
            <v>150000</v>
          </cell>
          <cell r="F162" t="str">
            <v>남</v>
          </cell>
          <cell r="G162">
            <v>67</v>
          </cell>
          <cell r="H162" t="str">
            <v>-</v>
          </cell>
          <cell r="J162" t="str">
            <v>용역</v>
          </cell>
          <cell r="K162" t="str">
            <v>영서인력</v>
          </cell>
          <cell r="O162">
            <v>41300</v>
          </cell>
          <cell r="R162">
            <v>45978</v>
          </cell>
          <cell r="S162">
            <v>45978</v>
          </cell>
          <cell r="T162">
            <v>45978</v>
          </cell>
          <cell r="V162" t="str">
            <v>보통인부</v>
          </cell>
        </row>
        <row r="163">
          <cell r="A163" t="str">
            <v>안재섭</v>
          </cell>
          <cell r="B163" t="str">
            <v>원주시 중앙로 46-7</v>
          </cell>
          <cell r="C163" t="str">
            <v>620604-1325712</v>
          </cell>
          <cell r="D163" t="str">
            <v>010-5832-2042</v>
          </cell>
          <cell r="E163">
            <v>150000</v>
          </cell>
          <cell r="F163" t="str">
            <v>남</v>
          </cell>
          <cell r="G163">
            <v>65</v>
          </cell>
          <cell r="H163" t="str">
            <v>-</v>
          </cell>
          <cell r="J163" t="str">
            <v>용역</v>
          </cell>
          <cell r="K163" t="str">
            <v>영서인력</v>
          </cell>
          <cell r="O163">
            <v>44188</v>
          </cell>
          <cell r="R163">
            <v>45978</v>
          </cell>
          <cell r="S163">
            <v>45978</v>
          </cell>
          <cell r="T163">
            <v>45978</v>
          </cell>
          <cell r="V163" t="str">
            <v>보통인부</v>
          </cell>
        </row>
        <row r="164">
          <cell r="A164" t="str">
            <v>전창화</v>
          </cell>
          <cell r="B164" t="str">
            <v>강동구 구천면로11길 20-16, 다동 201호</v>
          </cell>
          <cell r="C164" t="str">
            <v>660613-1930715</v>
          </cell>
          <cell r="D164" t="str">
            <v>010-5814-4100</v>
          </cell>
          <cell r="E164">
            <v>150000</v>
          </cell>
          <cell r="F164" t="str">
            <v>남</v>
          </cell>
          <cell r="G164">
            <v>61</v>
          </cell>
          <cell r="H164" t="str">
            <v>-</v>
          </cell>
          <cell r="J164" t="str">
            <v>용역</v>
          </cell>
          <cell r="K164" t="str">
            <v>영서인력</v>
          </cell>
          <cell r="O164">
            <v>42667</v>
          </cell>
          <cell r="R164">
            <v>45979</v>
          </cell>
          <cell r="S164">
            <v>45979</v>
          </cell>
          <cell r="T164">
            <v>45979</v>
          </cell>
          <cell r="V164" t="str">
            <v>보통인부</v>
          </cell>
        </row>
        <row r="165">
          <cell r="A165" t="str">
            <v>원경복</v>
          </cell>
          <cell r="B165" t="str">
            <v>서울 은평구 서오릉로25가길5-3</v>
          </cell>
          <cell r="C165" t="str">
            <v>670528-1235019</v>
          </cell>
          <cell r="D165" t="str">
            <v>010-2163-5330</v>
          </cell>
          <cell r="E165">
            <v>150000</v>
          </cell>
          <cell r="F165" t="str">
            <v>남</v>
          </cell>
          <cell r="G165">
            <v>60</v>
          </cell>
          <cell r="H165" t="str">
            <v>-</v>
          </cell>
          <cell r="J165" t="str">
            <v>용역</v>
          </cell>
          <cell r="K165" t="str">
            <v>영서인력</v>
          </cell>
          <cell r="O165">
            <v>42233</v>
          </cell>
          <cell r="R165">
            <v>45990</v>
          </cell>
          <cell r="S165">
            <v>45990</v>
          </cell>
          <cell r="T165">
            <v>45990</v>
          </cell>
          <cell r="V165" t="str">
            <v>보통인부</v>
          </cell>
        </row>
        <row r="166">
          <cell r="A166" t="str">
            <v>강석권</v>
          </cell>
          <cell r="B166" t="str">
            <v>서울 영등포구 신길로42라길 13-27</v>
          </cell>
          <cell r="C166" t="str">
            <v>710525-1496611</v>
          </cell>
          <cell r="D166" t="str">
            <v>010-2300-8770</v>
          </cell>
          <cell r="E166">
            <v>150000</v>
          </cell>
          <cell r="F166" t="str">
            <v>남</v>
          </cell>
          <cell r="G166">
            <v>56</v>
          </cell>
          <cell r="H166" t="str">
            <v>-</v>
          </cell>
          <cell r="J166" t="str">
            <v>용역</v>
          </cell>
          <cell r="K166" t="str">
            <v>영서인력</v>
          </cell>
          <cell r="O166">
            <v>41375</v>
          </cell>
          <cell r="R166">
            <v>45990</v>
          </cell>
          <cell r="S166">
            <v>45990</v>
          </cell>
          <cell r="T166">
            <v>45990</v>
          </cell>
          <cell r="V166" t="str">
            <v>보통인부</v>
          </cell>
        </row>
        <row r="167">
          <cell r="A167" t="str">
            <v>이철용</v>
          </cell>
          <cell r="B167" t="str">
            <v>강원 인제 북면 설악로3737</v>
          </cell>
          <cell r="C167" t="str">
            <v>661119-1340414</v>
          </cell>
          <cell r="D167" t="str">
            <v>010-2352-3935</v>
          </cell>
          <cell r="E167">
            <v>150000</v>
          </cell>
          <cell r="F167" t="str">
            <v>남</v>
          </cell>
          <cell r="G167">
            <v>61</v>
          </cell>
          <cell r="H167" t="str">
            <v>-</v>
          </cell>
          <cell r="J167" t="str">
            <v>용역</v>
          </cell>
          <cell r="K167" t="str">
            <v>영서인력</v>
          </cell>
          <cell r="O167">
            <v>43125</v>
          </cell>
          <cell r="R167">
            <v>45990</v>
          </cell>
          <cell r="S167">
            <v>45990</v>
          </cell>
          <cell r="T167">
            <v>45990</v>
          </cell>
          <cell r="V167" t="str">
            <v>보통인부</v>
          </cell>
        </row>
        <row r="168">
          <cell r="A168" t="str">
            <v>김영환</v>
          </cell>
          <cell r="B168" t="str">
            <v>원주시 개운4길 51-4</v>
          </cell>
          <cell r="C168" t="str">
            <v>921230-1267610</v>
          </cell>
          <cell r="D168" t="str">
            <v>010-2592-1815</v>
          </cell>
          <cell r="E168">
            <v>150000</v>
          </cell>
          <cell r="F168" t="str">
            <v>남</v>
          </cell>
          <cell r="G168">
            <v>35</v>
          </cell>
          <cell r="H168" t="str">
            <v>-</v>
          </cell>
          <cell r="J168" t="str">
            <v>용역</v>
          </cell>
          <cell r="K168" t="str">
            <v>영서인력</v>
          </cell>
          <cell r="O168">
            <v>42006</v>
          </cell>
          <cell r="R168">
            <v>45996</v>
          </cell>
          <cell r="S168">
            <v>45996</v>
          </cell>
          <cell r="T168">
            <v>45996</v>
          </cell>
          <cell r="V168" t="str">
            <v>보통인부</v>
          </cell>
        </row>
        <row r="169">
          <cell r="A169" t="str">
            <v>이철용</v>
          </cell>
          <cell r="B169" t="str">
            <v>강원 인제 북면 설악로3737</v>
          </cell>
          <cell r="C169" t="str">
            <v>661119-1340414</v>
          </cell>
          <cell r="D169" t="str">
            <v>010-2352-3935</v>
          </cell>
          <cell r="E169">
            <v>150000</v>
          </cell>
          <cell r="F169" t="str">
            <v>남</v>
          </cell>
          <cell r="G169">
            <v>61</v>
          </cell>
          <cell r="H169" t="str">
            <v>-</v>
          </cell>
          <cell r="J169" t="str">
            <v>용역</v>
          </cell>
          <cell r="K169" t="str">
            <v>영서인력</v>
          </cell>
          <cell r="O169">
            <v>43125</v>
          </cell>
          <cell r="R169">
            <v>45990</v>
          </cell>
          <cell r="S169">
            <v>45990</v>
          </cell>
          <cell r="T169">
            <v>45990</v>
          </cell>
          <cell r="V169" t="str">
            <v>보통인부</v>
          </cell>
        </row>
        <row r="170">
          <cell r="A170" t="str">
            <v>김상종</v>
          </cell>
          <cell r="B170" t="str">
            <v>원주시 태장동 2117-15</v>
          </cell>
          <cell r="C170" t="str">
            <v>670330-1324010</v>
          </cell>
          <cell r="D170" t="str">
            <v>010-5444-9346</v>
          </cell>
          <cell r="E170">
            <v>150000</v>
          </cell>
          <cell r="F170" t="str">
            <v>남</v>
          </cell>
          <cell r="G170">
            <v>60</v>
          </cell>
          <cell r="H170" t="str">
            <v>-</v>
          </cell>
          <cell r="J170" t="str">
            <v>용역</v>
          </cell>
          <cell r="K170" t="str">
            <v>영서인력</v>
          </cell>
          <cell r="O170">
            <v>44784</v>
          </cell>
          <cell r="R170">
            <v>45994</v>
          </cell>
          <cell r="S170">
            <v>45994</v>
          </cell>
          <cell r="T170">
            <v>45994</v>
          </cell>
          <cell r="V170" t="str">
            <v>보통인부</v>
          </cell>
        </row>
        <row r="171">
          <cell r="A171" t="str">
            <v>신범선</v>
          </cell>
          <cell r="B171" t="str">
            <v>원주시 판부면</v>
          </cell>
          <cell r="C171" t="str">
            <v>680710-1325615</v>
          </cell>
          <cell r="D171" t="str">
            <v>010-2153-1677</v>
          </cell>
          <cell r="E171">
            <v>150000</v>
          </cell>
          <cell r="F171" t="str">
            <v>남</v>
          </cell>
          <cell r="G171">
            <v>59</v>
          </cell>
          <cell r="H171" t="str">
            <v>-</v>
          </cell>
          <cell r="J171" t="str">
            <v>용역</v>
          </cell>
          <cell r="K171" t="str">
            <v>영서인력</v>
          </cell>
          <cell r="O171">
            <v>42851</v>
          </cell>
          <cell r="R171">
            <v>45994</v>
          </cell>
          <cell r="S171">
            <v>45994</v>
          </cell>
          <cell r="T171">
            <v>45994</v>
          </cell>
          <cell r="V171" t="str">
            <v>보통인부</v>
          </cell>
        </row>
        <row r="172">
          <cell r="A172" t="str">
            <v>이두성</v>
          </cell>
          <cell r="B172" t="str">
            <v>원주시 북원로 1935</v>
          </cell>
          <cell r="C172" t="str">
            <v>780820-1330519</v>
          </cell>
          <cell r="D172" t="str">
            <v>010-9527-6914</v>
          </cell>
          <cell r="E172">
            <v>150000</v>
          </cell>
          <cell r="F172" t="str">
            <v>남</v>
          </cell>
          <cell r="G172">
            <v>49</v>
          </cell>
          <cell r="H172" t="str">
            <v>-</v>
          </cell>
          <cell r="J172" t="str">
            <v>용역</v>
          </cell>
          <cell r="K172" t="str">
            <v>영서인력</v>
          </cell>
          <cell r="O172">
            <v>43117</v>
          </cell>
          <cell r="R172">
            <v>45997</v>
          </cell>
          <cell r="S172">
            <v>45997</v>
          </cell>
          <cell r="T172">
            <v>45997</v>
          </cell>
          <cell r="V172" t="str">
            <v>보통인부</v>
          </cell>
        </row>
        <row r="173">
          <cell r="A173" t="str">
            <v>김성백65</v>
          </cell>
          <cell r="B173" t="str">
            <v>강원 원주 동진골1길 64</v>
          </cell>
          <cell r="C173" t="str">
            <v>650228-1808940</v>
          </cell>
          <cell r="D173" t="str">
            <v>010-5853-1477</v>
          </cell>
          <cell r="E173">
            <v>150000</v>
          </cell>
          <cell r="F173" t="str">
            <v>남</v>
          </cell>
          <cell r="G173">
            <v>62</v>
          </cell>
          <cell r="H173" t="str">
            <v>-</v>
          </cell>
          <cell r="J173" t="str">
            <v>용역</v>
          </cell>
          <cell r="K173" t="str">
            <v>영서인력</v>
          </cell>
          <cell r="O173">
            <v>41549</v>
          </cell>
          <cell r="R173">
            <v>46125</v>
          </cell>
          <cell r="S173">
            <v>46125</v>
          </cell>
          <cell r="T173">
            <v>46125</v>
          </cell>
          <cell r="V173" t="str">
            <v>보통인부</v>
          </cell>
        </row>
        <row r="174">
          <cell r="A174" t="str">
            <v>문광협</v>
          </cell>
          <cell r="B174" t="str">
            <v>정선군 화암면 약수길 1077</v>
          </cell>
          <cell r="C174" t="str">
            <v>720501-1333013</v>
          </cell>
          <cell r="D174" t="str">
            <v>010-8854-9198</v>
          </cell>
          <cell r="E174">
            <v>150000</v>
          </cell>
          <cell r="F174" t="str">
            <v>남</v>
          </cell>
          <cell r="G174">
            <v>55</v>
          </cell>
          <cell r="H174" t="str">
            <v>-</v>
          </cell>
          <cell r="J174" t="str">
            <v>용역</v>
          </cell>
          <cell r="K174" t="str">
            <v>영서인력</v>
          </cell>
          <cell r="O174">
            <v>45078</v>
          </cell>
          <cell r="R174">
            <v>45999</v>
          </cell>
          <cell r="S174">
            <v>45999</v>
          </cell>
          <cell r="T174">
            <v>45999</v>
          </cell>
          <cell r="V174" t="str">
            <v>보통인부</v>
          </cell>
        </row>
        <row r="175">
          <cell r="A175" t="str">
            <v>이민재</v>
          </cell>
          <cell r="B175" t="str">
            <v>원주시 남원로 606번길2 102-1705</v>
          </cell>
          <cell r="C175" t="str">
            <v>640510-1267311</v>
          </cell>
          <cell r="D175" t="str">
            <v>010-2507-5516</v>
          </cell>
          <cell r="E175">
            <v>150000</v>
          </cell>
          <cell r="F175" t="str">
            <v>남</v>
          </cell>
          <cell r="G175">
            <v>63</v>
          </cell>
          <cell r="H175" t="str">
            <v>-</v>
          </cell>
          <cell r="J175" t="str">
            <v>용역</v>
          </cell>
          <cell r="K175" t="str">
            <v>영서인력</v>
          </cell>
          <cell r="O175">
            <v>43200</v>
          </cell>
          <cell r="R175">
            <v>46000</v>
          </cell>
          <cell r="S175">
            <v>46000</v>
          </cell>
          <cell r="T175">
            <v>46000</v>
          </cell>
          <cell r="V175" t="str">
            <v>보통인부</v>
          </cell>
        </row>
        <row r="176">
          <cell r="A176" t="str">
            <v>임승규</v>
          </cell>
          <cell r="B176" t="str">
            <v>원주시 소삼터길 47</v>
          </cell>
          <cell r="C176" t="str">
            <v>980804-1267813</v>
          </cell>
          <cell r="D176" t="str">
            <v>010-5040-2775</v>
          </cell>
          <cell r="E176">
            <v>150000</v>
          </cell>
          <cell r="F176" t="str">
            <v>남</v>
          </cell>
          <cell r="G176">
            <v>29</v>
          </cell>
          <cell r="H176" t="str">
            <v>-</v>
          </cell>
          <cell r="J176" t="str">
            <v>용역</v>
          </cell>
          <cell r="K176" t="str">
            <v>영서인력</v>
          </cell>
          <cell r="O176">
            <v>42885</v>
          </cell>
          <cell r="R176">
            <v>46000</v>
          </cell>
          <cell r="S176">
            <v>46000</v>
          </cell>
          <cell r="T176">
            <v>46000</v>
          </cell>
          <cell r="V176" t="str">
            <v>보통인부</v>
          </cell>
        </row>
        <row r="177">
          <cell r="A177" t="str">
            <v>천현석</v>
          </cell>
          <cell r="B177" t="str">
            <v>강원 원주 원문로 160,202-408</v>
          </cell>
          <cell r="C177" t="str">
            <v>980912-1268119</v>
          </cell>
          <cell r="D177" t="str">
            <v>010-7502-0269</v>
          </cell>
          <cell r="E177">
            <v>150000</v>
          </cell>
          <cell r="F177" t="str">
            <v>남</v>
          </cell>
          <cell r="G177">
            <v>29</v>
          </cell>
          <cell r="H177" t="str">
            <v>-</v>
          </cell>
          <cell r="J177" t="str">
            <v>용역</v>
          </cell>
          <cell r="K177" t="str">
            <v>영서인력</v>
          </cell>
          <cell r="O177">
            <v>43955</v>
          </cell>
          <cell r="R177">
            <v>46000</v>
          </cell>
          <cell r="S177">
            <v>46000</v>
          </cell>
          <cell r="T177">
            <v>46000</v>
          </cell>
          <cell r="V177" t="str">
            <v>보통인부</v>
          </cell>
        </row>
        <row r="178">
          <cell r="A178" t="str">
            <v>임선웅</v>
          </cell>
          <cell r="B178" t="str">
            <v>원주시 단구로 316</v>
          </cell>
          <cell r="C178" t="str">
            <v>830125-1268116</v>
          </cell>
          <cell r="D178" t="str">
            <v>010-8185-5120</v>
          </cell>
          <cell r="E178">
            <v>150000</v>
          </cell>
          <cell r="F178" t="str">
            <v>남</v>
          </cell>
          <cell r="G178">
            <v>44</v>
          </cell>
          <cell r="H178" t="str">
            <v>-</v>
          </cell>
          <cell r="J178" t="str">
            <v>용역</v>
          </cell>
          <cell r="K178" t="str">
            <v>영서인력</v>
          </cell>
          <cell r="O178">
            <v>41453</v>
          </cell>
          <cell r="R178">
            <v>45994</v>
          </cell>
          <cell r="S178">
            <v>45994</v>
          </cell>
          <cell r="T178">
            <v>45994</v>
          </cell>
          <cell r="V178" t="str">
            <v>보통인부</v>
          </cell>
        </row>
        <row r="179">
          <cell r="A179" t="str">
            <v>정유찬</v>
          </cell>
          <cell r="B179" t="str">
            <v>경기 남양주 초안면 다산로 760, 38-1</v>
          </cell>
          <cell r="C179" t="str">
            <v>800930-1080813</v>
          </cell>
          <cell r="D179" t="str">
            <v>010-4835-0015</v>
          </cell>
          <cell r="E179">
            <v>150000</v>
          </cell>
          <cell r="F179" t="str">
            <v>남</v>
          </cell>
          <cell r="G179">
            <v>47</v>
          </cell>
          <cell r="H179" t="str">
            <v>-</v>
          </cell>
          <cell r="J179" t="str">
            <v>용역</v>
          </cell>
          <cell r="K179" t="str">
            <v>영서인력</v>
          </cell>
          <cell r="O179">
            <v>43689</v>
          </cell>
          <cell r="R179">
            <v>46003</v>
          </cell>
          <cell r="S179">
            <v>46003</v>
          </cell>
          <cell r="T179">
            <v>46003</v>
          </cell>
          <cell r="V179" t="str">
            <v>보통인부</v>
          </cell>
        </row>
        <row r="180">
          <cell r="A180" t="str">
            <v>오규철</v>
          </cell>
          <cell r="B180" t="str">
            <v>강원 원주 무실로 121, 104-406</v>
          </cell>
          <cell r="C180" t="str">
            <v>710406-1329238</v>
          </cell>
          <cell r="D180" t="str">
            <v>010-5803-7255</v>
          </cell>
          <cell r="E180">
            <v>150000</v>
          </cell>
          <cell r="F180" t="str">
            <v>남</v>
          </cell>
          <cell r="G180">
            <v>56</v>
          </cell>
          <cell r="H180" t="str">
            <v>-</v>
          </cell>
          <cell r="J180" t="str">
            <v>용역</v>
          </cell>
          <cell r="K180" t="str">
            <v>영서인력</v>
          </cell>
          <cell r="O180">
            <v>41555</v>
          </cell>
          <cell r="R180">
            <v>46003</v>
          </cell>
          <cell r="S180">
            <v>46003</v>
          </cell>
          <cell r="T180">
            <v>46003</v>
          </cell>
          <cell r="V180" t="str">
            <v>보통인부</v>
          </cell>
        </row>
        <row r="181">
          <cell r="A181" t="str">
            <v>이명수</v>
          </cell>
          <cell r="B181" t="str">
            <v>강원 정선 남면 지정천로76, 1-101</v>
          </cell>
          <cell r="C181" t="str">
            <v>670322-1328828</v>
          </cell>
          <cell r="D181" t="str">
            <v>010-2117-7439</v>
          </cell>
          <cell r="E181">
            <v>150000</v>
          </cell>
          <cell r="F181" t="str">
            <v>남</v>
          </cell>
          <cell r="G181">
            <v>60</v>
          </cell>
          <cell r="H181" t="str">
            <v>-</v>
          </cell>
          <cell r="J181" t="str">
            <v>용역</v>
          </cell>
          <cell r="K181" t="str">
            <v>영서인력</v>
          </cell>
          <cell r="O181">
            <v>41432</v>
          </cell>
          <cell r="R181">
            <v>46004</v>
          </cell>
          <cell r="S181">
            <v>46004</v>
          </cell>
          <cell r="T181">
            <v>46004</v>
          </cell>
          <cell r="V181" t="str">
            <v>보통인부</v>
          </cell>
        </row>
        <row r="182">
          <cell r="A182" t="str">
            <v>류영남용</v>
          </cell>
          <cell r="B182" t="str">
            <v xml:space="preserve">강원 원주 토지길 </v>
          </cell>
          <cell r="C182" t="str">
            <v>700314-5103294</v>
          </cell>
          <cell r="D182" t="str">
            <v>010-2592-7985</v>
          </cell>
          <cell r="E182">
            <v>150000</v>
          </cell>
          <cell r="F182" t="str">
            <v>남</v>
          </cell>
          <cell r="G182">
            <v>57</v>
          </cell>
          <cell r="H182" t="str">
            <v>외국인</v>
          </cell>
          <cell r="I182" t="str">
            <v>LIU YONGNAN</v>
          </cell>
          <cell r="J182" t="str">
            <v>용역</v>
          </cell>
          <cell r="K182" t="str">
            <v>영서인력</v>
          </cell>
          <cell r="O182">
            <v>41743</v>
          </cell>
          <cell r="P182" t="str">
            <v>재외동포F4</v>
          </cell>
          <cell r="Q182">
            <v>46741</v>
          </cell>
          <cell r="R182">
            <v>46006</v>
          </cell>
          <cell r="S182">
            <v>46006</v>
          </cell>
          <cell r="T182">
            <v>46006</v>
          </cell>
          <cell r="V182" t="str">
            <v>보통인부</v>
          </cell>
        </row>
        <row r="183">
          <cell r="A183" t="str">
            <v>고용민</v>
          </cell>
          <cell r="B183" t="str">
            <v>강원 원주 개운4길 58-3, 302</v>
          </cell>
          <cell r="C183" t="str">
            <v>020528-3268218</v>
          </cell>
          <cell r="D183" t="str">
            <v>010-7623-2794</v>
          </cell>
          <cell r="E183">
            <v>150000</v>
          </cell>
          <cell r="F183" t="str">
            <v>남</v>
          </cell>
          <cell r="G183">
            <v>125</v>
          </cell>
          <cell r="H183" t="str">
            <v>-</v>
          </cell>
          <cell r="J183" t="str">
            <v>용역</v>
          </cell>
          <cell r="K183" t="str">
            <v>영서인력</v>
          </cell>
          <cell r="O183">
            <v>45531</v>
          </cell>
          <cell r="R183">
            <v>46007</v>
          </cell>
          <cell r="S183">
            <v>46007</v>
          </cell>
          <cell r="T183">
            <v>46007</v>
          </cell>
          <cell r="V183" t="str">
            <v>보통인부</v>
          </cell>
        </row>
        <row r="184">
          <cell r="A184" t="str">
            <v>김일영</v>
          </cell>
          <cell r="B184" t="str">
            <v>강원 원주 천사로 189, 103-1102</v>
          </cell>
          <cell r="C184" t="str">
            <v>670726-1330510</v>
          </cell>
          <cell r="D184" t="str">
            <v>010-3385-5719</v>
          </cell>
          <cell r="E184">
            <v>150000</v>
          </cell>
          <cell r="F184" t="str">
            <v>남</v>
          </cell>
          <cell r="G184">
            <v>60</v>
          </cell>
          <cell r="H184" t="str">
            <v>-</v>
          </cell>
          <cell r="J184" t="str">
            <v>용역</v>
          </cell>
          <cell r="K184" t="str">
            <v>영서인력</v>
          </cell>
          <cell r="O184">
            <v>43599</v>
          </cell>
          <cell r="R184">
            <v>46007</v>
          </cell>
          <cell r="S184">
            <v>46007</v>
          </cell>
          <cell r="T184">
            <v>46007</v>
          </cell>
          <cell r="V184" t="str">
            <v>보통인부</v>
          </cell>
        </row>
        <row r="185">
          <cell r="A185" t="str">
            <v>김성욱용</v>
          </cell>
          <cell r="B185" t="str">
            <v>강원 원주 관후길21-11</v>
          </cell>
          <cell r="C185" t="str">
            <v>690105-1332828</v>
          </cell>
          <cell r="D185" t="str">
            <v>010-5367-0265</v>
          </cell>
          <cell r="E185">
            <v>150000</v>
          </cell>
          <cell r="F185" t="str">
            <v>남</v>
          </cell>
          <cell r="G185">
            <v>58</v>
          </cell>
          <cell r="H185" t="str">
            <v>-</v>
          </cell>
          <cell r="J185" t="str">
            <v>용역</v>
          </cell>
          <cell r="K185" t="str">
            <v>영서인력</v>
          </cell>
          <cell r="O185">
            <v>41094</v>
          </cell>
          <cell r="R185">
            <v>46009</v>
          </cell>
          <cell r="S185">
            <v>46009</v>
          </cell>
          <cell r="T185">
            <v>46009</v>
          </cell>
          <cell r="V185" t="str">
            <v>보통인부</v>
          </cell>
        </row>
        <row r="186">
          <cell r="A186" t="str">
            <v>김호천</v>
          </cell>
          <cell r="B186" t="str">
            <v>서울 영등포구 도신로29사길20-1,B02호</v>
          </cell>
          <cell r="C186" t="str">
            <v>900326-5860022</v>
          </cell>
          <cell r="D186" t="str">
            <v>010-2545-8909</v>
          </cell>
          <cell r="E186">
            <v>150000</v>
          </cell>
          <cell r="F186" t="str">
            <v>남</v>
          </cell>
          <cell r="G186">
            <v>37</v>
          </cell>
          <cell r="H186" t="str">
            <v>외국인</v>
          </cell>
          <cell r="I186" t="str">
            <v>JIN HUTIAN</v>
          </cell>
          <cell r="J186" t="str">
            <v>용역</v>
          </cell>
          <cell r="K186" t="str">
            <v>영서인력</v>
          </cell>
          <cell r="O186">
            <v>44574</v>
          </cell>
          <cell r="P186" t="str">
            <v>영주F5</v>
          </cell>
          <cell r="Q186">
            <v>48430</v>
          </cell>
          <cell r="R186">
            <v>46013</v>
          </cell>
          <cell r="S186">
            <v>46013</v>
          </cell>
          <cell r="T186">
            <v>46013</v>
          </cell>
          <cell r="V186" t="str">
            <v>보통인부</v>
          </cell>
          <cell r="W186" t="str">
            <v>중국</v>
          </cell>
        </row>
        <row r="187">
          <cell r="A187" t="str">
            <v>최일권</v>
          </cell>
          <cell r="B187" t="str">
            <v>강원 원주 무실로 121, 211-204</v>
          </cell>
          <cell r="C187" t="str">
            <v>710831-1777912</v>
          </cell>
          <cell r="D187" t="str">
            <v>010-5361-5555</v>
          </cell>
          <cell r="E187">
            <v>150000</v>
          </cell>
          <cell r="F187" t="str">
            <v>남</v>
          </cell>
          <cell r="G187">
            <v>56</v>
          </cell>
          <cell r="H187" t="str">
            <v>-</v>
          </cell>
          <cell r="J187" t="str">
            <v>용역</v>
          </cell>
          <cell r="K187" t="str">
            <v>영서인력</v>
          </cell>
          <cell r="O187">
            <v>42536</v>
          </cell>
          <cell r="R187">
            <v>46016</v>
          </cell>
          <cell r="S187">
            <v>46016</v>
          </cell>
          <cell r="T187">
            <v>46016</v>
          </cell>
          <cell r="V187" t="str">
            <v>보통인부</v>
          </cell>
        </row>
        <row r="188">
          <cell r="A188" t="str">
            <v>이규천</v>
          </cell>
          <cell r="B188" t="str">
            <v>강원 원주시 백간길 81 101-408</v>
          </cell>
          <cell r="C188" t="str">
            <v>630922-1323526</v>
          </cell>
          <cell r="D188" t="str">
            <v>010-4951-6562</v>
          </cell>
          <cell r="E188">
            <v>150000</v>
          </cell>
          <cell r="F188" t="str">
            <v>남</v>
          </cell>
          <cell r="G188">
            <v>64</v>
          </cell>
          <cell r="H188" t="str">
            <v>-</v>
          </cell>
          <cell r="J188" t="str">
            <v>용역</v>
          </cell>
          <cell r="K188" t="str">
            <v>영서인력</v>
          </cell>
          <cell r="O188">
            <v>41271</v>
          </cell>
          <cell r="R188">
            <v>46018</v>
          </cell>
          <cell r="S188">
            <v>46018</v>
          </cell>
          <cell r="T188">
            <v>46018</v>
          </cell>
          <cell r="V188" t="str">
            <v>보통인부</v>
          </cell>
        </row>
        <row r="189">
          <cell r="A189" t="str">
            <v>김기백</v>
          </cell>
          <cell r="B189" t="str">
            <v>강원 원주 세계로 111</v>
          </cell>
          <cell r="C189" t="str">
            <v>930211-1267615</v>
          </cell>
          <cell r="D189" t="str">
            <v>010-7194-0990</v>
          </cell>
          <cell r="E189">
            <v>150000</v>
          </cell>
          <cell r="F189" t="str">
            <v>남</v>
          </cell>
          <cell r="G189">
            <v>34</v>
          </cell>
          <cell r="H189" t="str">
            <v>-</v>
          </cell>
          <cell r="J189" t="str">
            <v>용역</v>
          </cell>
          <cell r="K189" t="str">
            <v>영서인력</v>
          </cell>
          <cell r="O189">
            <v>45044</v>
          </cell>
          <cell r="R189">
            <v>46035</v>
          </cell>
          <cell r="S189">
            <v>46035</v>
          </cell>
          <cell r="T189">
            <v>46035</v>
          </cell>
          <cell r="V189" t="str">
            <v>보통인부</v>
          </cell>
        </row>
        <row r="190">
          <cell r="A190" t="str">
            <v>손진영</v>
          </cell>
          <cell r="B190" t="str">
            <v>강원 속초 온정로1길 11-8,105-404</v>
          </cell>
          <cell r="C190" t="str">
            <v>860116-1811212</v>
          </cell>
          <cell r="D190" t="str">
            <v>010-4552-3660</v>
          </cell>
          <cell r="E190">
            <v>150000</v>
          </cell>
          <cell r="F190" t="str">
            <v>남</v>
          </cell>
          <cell r="G190">
            <v>41</v>
          </cell>
          <cell r="H190" t="str">
            <v>-</v>
          </cell>
          <cell r="J190" t="str">
            <v>용역</v>
          </cell>
          <cell r="K190" t="str">
            <v>영서인력</v>
          </cell>
          <cell r="O190">
            <v>45566</v>
          </cell>
          <cell r="Q190" t="str">
            <v/>
          </cell>
          <cell r="R190">
            <v>46035</v>
          </cell>
          <cell r="S190">
            <v>46035</v>
          </cell>
          <cell r="T190">
            <v>46035</v>
          </cell>
          <cell r="V190" t="str">
            <v>보통인부</v>
          </cell>
        </row>
        <row r="191">
          <cell r="A191" t="str">
            <v>윤태경</v>
          </cell>
          <cell r="B191" t="str">
            <v>강원 원주 개운1길 46-1</v>
          </cell>
          <cell r="C191" t="str">
            <v>690329-1800913</v>
          </cell>
          <cell r="D191" t="str">
            <v>010-3224-1304</v>
          </cell>
          <cell r="E191">
            <v>150000</v>
          </cell>
          <cell r="F191" t="str">
            <v>남</v>
          </cell>
          <cell r="G191">
            <v>58</v>
          </cell>
          <cell r="H191" t="str">
            <v>-</v>
          </cell>
          <cell r="J191" t="str">
            <v>용역</v>
          </cell>
          <cell r="K191" t="str">
            <v>영서인력</v>
          </cell>
          <cell r="O191">
            <v>43895</v>
          </cell>
          <cell r="R191">
            <v>46037</v>
          </cell>
          <cell r="S191">
            <v>46037</v>
          </cell>
          <cell r="T191">
            <v>46037</v>
          </cell>
          <cell r="V191" t="str">
            <v>보통인부</v>
          </cell>
        </row>
        <row r="192">
          <cell r="A192" t="str">
            <v>정주영</v>
          </cell>
          <cell r="B192" t="str">
            <v>강원 원주 원문로 205번길 4</v>
          </cell>
          <cell r="C192" t="str">
            <v>660214-1348317</v>
          </cell>
          <cell r="D192" t="str">
            <v>010-7689-5509</v>
          </cell>
          <cell r="E192">
            <v>150000</v>
          </cell>
          <cell r="F192" t="str">
            <v>남</v>
          </cell>
          <cell r="G192">
            <v>61</v>
          </cell>
          <cell r="H192" t="str">
            <v>-</v>
          </cell>
          <cell r="J192" t="str">
            <v>용역</v>
          </cell>
          <cell r="K192" t="str">
            <v>영서인력</v>
          </cell>
          <cell r="O192">
            <v>42606</v>
          </cell>
          <cell r="R192">
            <v>46037</v>
          </cell>
          <cell r="S192">
            <v>46037</v>
          </cell>
          <cell r="T192">
            <v>46037</v>
          </cell>
          <cell r="V192" t="str">
            <v>보통인부</v>
          </cell>
        </row>
        <row r="193">
          <cell r="A193" t="str">
            <v>정북영</v>
          </cell>
          <cell r="B193" t="str">
            <v>강원 원주 치악로 1878-5</v>
          </cell>
          <cell r="C193" t="str">
            <v>730910-1400713</v>
          </cell>
          <cell r="D193" t="str">
            <v>010-2117-8126</v>
          </cell>
          <cell r="E193">
            <v>150000</v>
          </cell>
          <cell r="F193" t="str">
            <v>남</v>
          </cell>
          <cell r="G193">
            <v>54</v>
          </cell>
          <cell r="H193" t="str">
            <v>-</v>
          </cell>
          <cell r="J193" t="str">
            <v>용역</v>
          </cell>
          <cell r="K193" t="str">
            <v>영서인력</v>
          </cell>
          <cell r="O193">
            <v>42023</v>
          </cell>
          <cell r="R193">
            <v>46077</v>
          </cell>
          <cell r="S193">
            <v>46077</v>
          </cell>
          <cell r="T193">
            <v>46077</v>
          </cell>
          <cell r="V193" t="str">
            <v>형틀목공</v>
          </cell>
        </row>
        <row r="194">
          <cell r="A194" t="str">
            <v>임주헌</v>
          </cell>
          <cell r="B194" t="str">
            <v>강원 원주 백간길 53, 5-903</v>
          </cell>
          <cell r="C194" t="str">
            <v>651213-1268211</v>
          </cell>
          <cell r="D194" t="str">
            <v>010-4033-2068</v>
          </cell>
          <cell r="E194">
            <v>150000</v>
          </cell>
          <cell r="F194" t="str">
            <v>남</v>
          </cell>
          <cell r="G194">
            <v>62</v>
          </cell>
          <cell r="H194" t="str">
            <v>-</v>
          </cell>
          <cell r="J194" t="str">
            <v>용역</v>
          </cell>
          <cell r="K194" t="str">
            <v>영서인력</v>
          </cell>
          <cell r="O194">
            <v>44223</v>
          </cell>
          <cell r="R194">
            <v>46085</v>
          </cell>
          <cell r="S194">
            <v>46085</v>
          </cell>
          <cell r="T194">
            <v>46085</v>
          </cell>
          <cell r="V194" t="str">
            <v>보통인부</v>
          </cell>
        </row>
        <row r="195">
          <cell r="A195" t="str">
            <v>안성현</v>
          </cell>
          <cell r="B195" t="str">
            <v>충북 음성군 금왕읍 탑골3길 1, 101호</v>
          </cell>
          <cell r="C195" t="str">
            <v>920819-1360418</v>
          </cell>
          <cell r="E195">
            <v>150000</v>
          </cell>
          <cell r="F195" t="str">
            <v>남</v>
          </cell>
          <cell r="G195">
            <v>35</v>
          </cell>
          <cell r="H195" t="str">
            <v>-</v>
          </cell>
          <cell r="J195" t="str">
            <v>용역</v>
          </cell>
          <cell r="K195" t="str">
            <v>영서인력</v>
          </cell>
          <cell r="O195">
            <v>43972</v>
          </cell>
          <cell r="R195">
            <v>46101</v>
          </cell>
          <cell r="S195">
            <v>46101</v>
          </cell>
          <cell r="T195">
            <v>46101</v>
          </cell>
          <cell r="V195" t="str">
            <v>보통인부</v>
          </cell>
        </row>
        <row r="196">
          <cell r="A196" t="str">
            <v>정세환</v>
          </cell>
          <cell r="B196" t="str">
            <v>강원 원주시 남산로141, 101-1005</v>
          </cell>
          <cell r="C196" t="str">
            <v>070502-3267312</v>
          </cell>
          <cell r="D196" t="str">
            <v>010-5967-3341</v>
          </cell>
          <cell r="E196">
            <v>150000</v>
          </cell>
          <cell r="F196" t="str">
            <v>남</v>
          </cell>
          <cell r="G196">
            <v>20</v>
          </cell>
          <cell r="H196" t="str">
            <v>-</v>
          </cell>
          <cell r="J196" t="str">
            <v>용역</v>
          </cell>
          <cell r="K196" t="str">
            <v>영서인력</v>
          </cell>
          <cell r="O196">
            <v>46111</v>
          </cell>
          <cell r="R196">
            <v>46113</v>
          </cell>
          <cell r="S196">
            <v>46113</v>
          </cell>
          <cell r="T196">
            <v>46113</v>
          </cell>
          <cell r="V196" t="str">
            <v>보통인부</v>
          </cell>
        </row>
        <row r="197">
          <cell r="A197" t="str">
            <v>서정호</v>
          </cell>
          <cell r="B197" t="str">
            <v>서울 광진구 뚝섬로22길 28</v>
          </cell>
          <cell r="C197" t="str">
            <v>760521-1395111</v>
          </cell>
          <cell r="D197" t="str">
            <v>010-3645-9828</v>
          </cell>
          <cell r="E197">
            <v>150000</v>
          </cell>
          <cell r="F197" t="str">
            <v>남</v>
          </cell>
          <cell r="G197">
            <v>51</v>
          </cell>
          <cell r="H197" t="str">
            <v>-</v>
          </cell>
          <cell r="J197" t="str">
            <v>용역</v>
          </cell>
          <cell r="K197" t="str">
            <v>영서인력</v>
          </cell>
          <cell r="O197">
            <v>41481</v>
          </cell>
          <cell r="R197">
            <v>46128</v>
          </cell>
          <cell r="S197">
            <v>46128</v>
          </cell>
          <cell r="T197">
            <v>46128</v>
          </cell>
          <cell r="V197" t="str">
            <v>보통인부</v>
          </cell>
        </row>
        <row r="198">
          <cell r="A198" t="str">
            <v>허영길</v>
          </cell>
          <cell r="B198" t="str">
            <v>강원 원주 지정 송정로 238 12</v>
          </cell>
          <cell r="C198" t="str">
            <v>630814-1268419</v>
          </cell>
          <cell r="D198" t="str">
            <v>010-8795-1924</v>
          </cell>
          <cell r="E198">
            <v>150000</v>
          </cell>
          <cell r="F198" t="str">
            <v>남</v>
          </cell>
          <cell r="G198">
            <v>64</v>
          </cell>
          <cell r="H198" t="str">
            <v>-</v>
          </cell>
          <cell r="J198" t="str">
            <v>용역</v>
          </cell>
          <cell r="K198" t="str">
            <v>영서인력</v>
          </cell>
          <cell r="O198">
            <v>41429</v>
          </cell>
          <cell r="R198">
            <v>46130</v>
          </cell>
          <cell r="S198">
            <v>46130</v>
          </cell>
          <cell r="T198">
            <v>46130</v>
          </cell>
          <cell r="V198" t="str">
            <v>보통인부</v>
          </cell>
        </row>
        <row r="199">
          <cell r="A199" t="str">
            <v>방병렬</v>
          </cell>
          <cell r="B199" t="str">
            <v>강원 원주 옛시청길 12-20,5층 503호 혈압●</v>
          </cell>
          <cell r="C199" t="str">
            <v>731015-1268637</v>
          </cell>
          <cell r="D199" t="str">
            <v>731015-1268637</v>
          </cell>
          <cell r="E199">
            <v>150000</v>
          </cell>
          <cell r="F199" t="str">
            <v>남</v>
          </cell>
          <cell r="G199">
            <v>54</v>
          </cell>
          <cell r="H199" t="str">
            <v>-</v>
          </cell>
          <cell r="I199" t="str">
            <v>혈압아침귀가</v>
          </cell>
          <cell r="J199" t="str">
            <v>용역</v>
          </cell>
          <cell r="K199" t="str">
            <v>영서인력</v>
          </cell>
          <cell r="O199">
            <v>41863</v>
          </cell>
          <cell r="R199">
            <v>46134</v>
          </cell>
          <cell r="S199">
            <v>46134</v>
          </cell>
          <cell r="T199">
            <v>46134</v>
          </cell>
          <cell r="V199" t="str">
            <v>보통인부</v>
          </cell>
        </row>
        <row r="200">
          <cell r="A200" t="str">
            <v>복수창</v>
          </cell>
          <cell r="B200" t="str">
            <v>경기 의정부시 가능로 152번길 14</v>
          </cell>
          <cell r="C200" t="str">
            <v>730204-1031015</v>
          </cell>
          <cell r="D200" t="str">
            <v>010-8082-9009</v>
          </cell>
          <cell r="E200">
            <v>150000</v>
          </cell>
          <cell r="F200" t="str">
            <v>남</v>
          </cell>
          <cell r="G200">
            <v>54</v>
          </cell>
          <cell r="H200" t="str">
            <v>-</v>
          </cell>
          <cell r="J200" t="str">
            <v>용역</v>
          </cell>
          <cell r="K200" t="str">
            <v>영서인력</v>
          </cell>
          <cell r="O200">
            <v>44844</v>
          </cell>
          <cell r="R200">
            <v>46136</v>
          </cell>
          <cell r="S200">
            <v>46136</v>
          </cell>
          <cell r="T200">
            <v>46136</v>
          </cell>
          <cell r="V200" t="str">
            <v>보통인부</v>
          </cell>
        </row>
        <row r="201">
          <cell r="A201" t="str">
            <v>조중인</v>
          </cell>
          <cell r="B201" t="str">
            <v>강원 원주시 가매기길 18-12</v>
          </cell>
          <cell r="C201" t="str">
            <v>820430-1188116</v>
          </cell>
          <cell r="D201" t="str">
            <v>010-5883-4448</v>
          </cell>
          <cell r="E201">
            <v>150000</v>
          </cell>
          <cell r="F201" t="str">
            <v>남</v>
          </cell>
          <cell r="G201">
            <v>45</v>
          </cell>
          <cell r="H201" t="str">
            <v>-</v>
          </cell>
          <cell r="J201" t="str">
            <v>용역</v>
          </cell>
          <cell r="K201" t="str">
            <v>영서인력</v>
          </cell>
          <cell r="O201">
            <v>45681</v>
          </cell>
          <cell r="R201">
            <v>46144</v>
          </cell>
          <cell r="S201">
            <v>46144</v>
          </cell>
          <cell r="T201">
            <v>46144</v>
          </cell>
          <cell r="V201" t="str">
            <v>보통인부</v>
          </cell>
        </row>
        <row r="202">
          <cell r="A202" t="str">
            <v>이순철</v>
          </cell>
          <cell r="B202" t="str">
            <v>강원 원주시 오성마을길63-30,203-1301</v>
          </cell>
          <cell r="C202" t="str">
            <v>660429-1268219</v>
          </cell>
          <cell r="D202" t="str">
            <v>010-3182-9504</v>
          </cell>
          <cell r="E202">
            <v>150000</v>
          </cell>
          <cell r="F202" t="str">
            <v>남</v>
          </cell>
          <cell r="G202">
            <v>61</v>
          </cell>
          <cell r="H202" t="str">
            <v>-</v>
          </cell>
          <cell r="J202" t="str">
            <v>용역</v>
          </cell>
          <cell r="K202" t="str">
            <v>영서인력</v>
          </cell>
          <cell r="O202">
            <v>43411</v>
          </cell>
          <cell r="R202">
            <v>46147</v>
          </cell>
          <cell r="S202">
            <v>46147</v>
          </cell>
          <cell r="T202">
            <v>46147</v>
          </cell>
          <cell r="V202" t="str">
            <v>보통인부</v>
          </cell>
        </row>
        <row r="203">
          <cell r="A203" t="str">
            <v>김현철</v>
          </cell>
          <cell r="B203" t="str">
            <v>경기 성남시 중원구 희망로326번길 2</v>
          </cell>
          <cell r="C203" t="str">
            <v>620618-1030125</v>
          </cell>
          <cell r="D203" t="str">
            <v>010-2028-3249</v>
          </cell>
          <cell r="E203">
            <v>150000</v>
          </cell>
          <cell r="F203" t="str">
            <v>남</v>
          </cell>
          <cell r="G203">
            <v>65</v>
          </cell>
          <cell r="H203" t="str">
            <v>-</v>
          </cell>
          <cell r="J203" t="str">
            <v>용역</v>
          </cell>
          <cell r="K203" t="str">
            <v>영서인력</v>
          </cell>
          <cell r="O203">
            <v>41111</v>
          </cell>
          <cell r="R203">
            <v>46148</v>
          </cell>
          <cell r="S203">
            <v>46148</v>
          </cell>
          <cell r="T203">
            <v>46148</v>
          </cell>
          <cell r="V203" t="str">
            <v>보통인부</v>
          </cell>
        </row>
        <row r="204">
          <cell r="A204" t="str">
            <v>박성병</v>
          </cell>
          <cell r="B204" t="str">
            <v>강원 원주 천매봉길32</v>
          </cell>
          <cell r="C204" t="str">
            <v>720217-1384610</v>
          </cell>
          <cell r="D204" t="str">
            <v>010-5658-3889</v>
          </cell>
          <cell r="E204">
            <v>150000</v>
          </cell>
          <cell r="F204" t="str">
            <v>남</v>
          </cell>
          <cell r="G204">
            <v>55</v>
          </cell>
          <cell r="H204" t="str">
            <v>-</v>
          </cell>
          <cell r="J204" t="str">
            <v>용역</v>
          </cell>
          <cell r="K204" t="str">
            <v>영서인력</v>
          </cell>
          <cell r="O204">
            <v>41684</v>
          </cell>
          <cell r="R204">
            <v>46148</v>
          </cell>
          <cell r="S204">
            <v>46148</v>
          </cell>
          <cell r="T204">
            <v>46148</v>
          </cell>
          <cell r="V204" t="str">
            <v>보통인부</v>
          </cell>
        </row>
        <row r="205">
          <cell r="A205" t="str">
            <v>전용호</v>
          </cell>
          <cell r="B205" t="str">
            <v>경기 양평 강상면 양평대교길 86</v>
          </cell>
          <cell r="C205" t="str">
            <v>780928-1530314</v>
          </cell>
          <cell r="D205" t="str">
            <v>010-7368-2934</v>
          </cell>
          <cell r="E205">
            <v>150000</v>
          </cell>
          <cell r="F205" t="str">
            <v>남</v>
          </cell>
          <cell r="G205">
            <v>49</v>
          </cell>
          <cell r="H205" t="str">
            <v>-</v>
          </cell>
          <cell r="J205" t="str">
            <v>용역</v>
          </cell>
          <cell r="K205" t="str">
            <v>영서인력</v>
          </cell>
          <cell r="O205">
            <v>41750</v>
          </cell>
          <cell r="R205">
            <v>46148</v>
          </cell>
          <cell r="S205">
            <v>46148</v>
          </cell>
          <cell r="T205">
            <v>46148</v>
          </cell>
          <cell r="V205" t="str">
            <v>보통인부</v>
          </cell>
        </row>
        <row r="206">
          <cell r="A206" t="str">
            <v>서동진영</v>
          </cell>
          <cell r="B206" t="str">
            <v xml:space="preserve">강원 원주 무실91, 102-503 </v>
          </cell>
          <cell r="C206" t="str">
            <v>890228-1224712</v>
          </cell>
          <cell r="D206" t="str">
            <v>010-5524-1502</v>
          </cell>
          <cell r="E206">
            <v>150000</v>
          </cell>
          <cell r="F206" t="str">
            <v>남</v>
          </cell>
          <cell r="G206">
            <v>38</v>
          </cell>
          <cell r="H206" t="str">
            <v>-</v>
          </cell>
          <cell r="J206" t="str">
            <v>용역</v>
          </cell>
          <cell r="K206" t="str">
            <v>영서인력</v>
          </cell>
          <cell r="O206">
            <v>46065</v>
          </cell>
          <cell r="R206">
            <v>46111</v>
          </cell>
          <cell r="S206">
            <v>46111</v>
          </cell>
          <cell r="T206">
            <v>46111</v>
          </cell>
          <cell r="V206" t="str">
            <v>형틀목공</v>
          </cell>
        </row>
        <row r="207">
          <cell r="A207" t="str">
            <v>김영규</v>
          </cell>
          <cell r="B207" t="str">
            <v>강원 원주 치악로 1732-41,2층 204호</v>
          </cell>
          <cell r="C207" t="str">
            <v>720306-1325818</v>
          </cell>
          <cell r="D207" t="str">
            <v>010-4916-8196</v>
          </cell>
          <cell r="E207">
            <v>150000</v>
          </cell>
          <cell r="F207" t="str">
            <v>남</v>
          </cell>
          <cell r="G207">
            <v>55</v>
          </cell>
          <cell r="H207" t="str">
            <v>-</v>
          </cell>
          <cell r="I207" t="str">
            <v>혈압아침귀가</v>
          </cell>
          <cell r="J207" t="str">
            <v>용역</v>
          </cell>
          <cell r="K207" t="str">
            <v>영서인력</v>
          </cell>
          <cell r="O207">
            <v>42611</v>
          </cell>
          <cell r="R207">
            <v>46188</v>
          </cell>
          <cell r="S207">
            <v>46188</v>
          </cell>
          <cell r="T207">
            <v>46188</v>
          </cell>
          <cell r="V207" t="str">
            <v>보통인부</v>
          </cell>
        </row>
        <row r="208">
          <cell r="A208" t="str">
            <v>이상현</v>
          </cell>
          <cell r="B208" t="str">
            <v>강원 원주 봉바위길 37, 201호</v>
          </cell>
          <cell r="C208" t="str">
            <v>690809-1390318</v>
          </cell>
          <cell r="D208" t="str">
            <v>010-3684-2296</v>
          </cell>
          <cell r="E208">
            <v>150000</v>
          </cell>
          <cell r="F208" t="str">
            <v>남</v>
          </cell>
          <cell r="G208">
            <v>58</v>
          </cell>
          <cell r="H208" t="str">
            <v>-</v>
          </cell>
          <cell r="J208" t="str">
            <v>용역</v>
          </cell>
          <cell r="K208" t="str">
            <v>영서인력</v>
          </cell>
          <cell r="O208">
            <v>42083</v>
          </cell>
          <cell r="R208">
            <v>46196</v>
          </cell>
          <cell r="S208">
            <v>46196</v>
          </cell>
          <cell r="T208">
            <v>46196</v>
          </cell>
          <cell r="V208" t="str">
            <v>보통인부</v>
          </cell>
        </row>
        <row r="209">
          <cell r="A209" t="str">
            <v>김춘휘</v>
          </cell>
          <cell r="B209" t="str">
            <v>강원 원주 증정길39</v>
          </cell>
          <cell r="C209" t="str">
            <v>720415-5140033</v>
          </cell>
          <cell r="D209" t="str">
            <v>010-5937-5395</v>
          </cell>
          <cell r="E209">
            <v>150000</v>
          </cell>
          <cell r="F209" t="str">
            <v>남</v>
          </cell>
          <cell r="G209">
            <v>55</v>
          </cell>
          <cell r="H209" t="str">
            <v>외국인</v>
          </cell>
          <cell r="I209" t="str">
            <v>JIN CHUNHUI</v>
          </cell>
          <cell r="J209" t="str">
            <v>용역</v>
          </cell>
          <cell r="K209" t="str">
            <v>영서인력</v>
          </cell>
          <cell r="L209" t="str">
            <v>1010-2735-4600</v>
          </cell>
          <cell r="M209" t="str">
            <v>수협은행</v>
          </cell>
          <cell r="N209" t="str">
            <v>(주)우민이엔지</v>
          </cell>
          <cell r="O209">
            <v>44826</v>
          </cell>
          <cell r="P209" t="str">
            <v>재외동포F4</v>
          </cell>
          <cell r="Q209">
            <v>47015</v>
          </cell>
          <cell r="R209">
            <v>46225</v>
          </cell>
          <cell r="S209">
            <v>46225</v>
          </cell>
          <cell r="T209">
            <v>46225</v>
          </cell>
          <cell r="V209" t="str">
            <v>보통인부</v>
          </cell>
        </row>
        <row r="210">
          <cell r="F210" t="str">
            <v/>
          </cell>
          <cell r="G210" t="str">
            <v/>
          </cell>
          <cell r="H210" t="str">
            <v/>
          </cell>
          <cell r="Q210" t="str">
            <v/>
          </cell>
        </row>
        <row r="211">
          <cell r="F211" t="str">
            <v/>
          </cell>
          <cell r="G211" t="str">
            <v/>
          </cell>
          <cell r="H211" t="str">
            <v/>
          </cell>
          <cell r="Q211" t="str">
            <v/>
          </cell>
        </row>
        <row r="212">
          <cell r="F212" t="str">
            <v/>
          </cell>
          <cell r="G212" t="str">
            <v/>
          </cell>
          <cell r="H212" t="str">
            <v/>
          </cell>
          <cell r="Q212" t="str">
            <v/>
          </cell>
        </row>
        <row r="213">
          <cell r="A213" t="str">
            <v>김삼봉</v>
          </cell>
          <cell r="C213" t="str">
            <v>621225-5860013</v>
          </cell>
          <cell r="D213" t="str">
            <v>010-5089-6698</v>
          </cell>
          <cell r="E213">
            <v>140000</v>
          </cell>
          <cell r="F213" t="str">
            <v>남</v>
          </cell>
          <cell r="G213">
            <v>65</v>
          </cell>
          <cell r="H213" t="str">
            <v>외국인</v>
          </cell>
          <cell r="I213" t="str">
            <v>JIN SANFENG</v>
          </cell>
          <cell r="J213" t="str">
            <v>용역</v>
          </cell>
          <cell r="K213" t="str">
            <v>영서인력</v>
          </cell>
          <cell r="O213">
            <v>44655</v>
          </cell>
          <cell r="P213" t="str">
            <v>방문취업H2</v>
          </cell>
          <cell r="Q213" t="str">
            <v>25.11월경</v>
          </cell>
          <cell r="S213">
            <v>45905</v>
          </cell>
          <cell r="T213">
            <v>45905</v>
          </cell>
          <cell r="U213" t="str">
            <v>E32740865</v>
          </cell>
          <cell r="V213" t="str">
            <v>보통인부</v>
          </cell>
          <cell r="W213" t="str">
            <v>중국</v>
          </cell>
        </row>
        <row r="214">
          <cell r="A214" t="str">
            <v>릭</v>
          </cell>
          <cell r="C214" t="str">
            <v>880804-5</v>
          </cell>
          <cell r="D214" t="str">
            <v>010-7332-0990</v>
          </cell>
          <cell r="E214">
            <v>140000</v>
          </cell>
          <cell r="F214" t="str">
            <v>남</v>
          </cell>
          <cell r="G214">
            <v>39</v>
          </cell>
          <cell r="H214" t="str">
            <v>외국인</v>
          </cell>
          <cell r="I214" t="str">
            <v>MR. RITH</v>
          </cell>
          <cell r="J214" t="str">
            <v>용역</v>
          </cell>
          <cell r="K214" t="str">
            <v>영서인력</v>
          </cell>
          <cell r="O214">
            <v>44901</v>
          </cell>
          <cell r="R214">
            <v>45950</v>
          </cell>
          <cell r="S214">
            <v>45950</v>
          </cell>
          <cell r="T214">
            <v>45950</v>
          </cell>
          <cell r="U214" t="str">
            <v>AD0076651</v>
          </cell>
          <cell r="V214" t="str">
            <v>보통인부</v>
          </cell>
          <cell r="W214" t="str">
            <v>태국</v>
          </cell>
        </row>
        <row r="215">
          <cell r="A215" t="str">
            <v>새</v>
          </cell>
          <cell r="C215" t="str">
            <v>790213-5</v>
          </cell>
          <cell r="D215" t="str">
            <v>010-2600-2257</v>
          </cell>
          <cell r="E215">
            <v>140000</v>
          </cell>
          <cell r="F215" t="str">
            <v>남</v>
          </cell>
          <cell r="G215">
            <v>48</v>
          </cell>
          <cell r="H215" t="str">
            <v>외국인</v>
          </cell>
          <cell r="I215" t="str">
            <v>PAITOON</v>
          </cell>
          <cell r="J215" t="str">
            <v>용역</v>
          </cell>
          <cell r="K215" t="str">
            <v>영서인력</v>
          </cell>
          <cell r="O215">
            <v>43276</v>
          </cell>
          <cell r="Q215" t="str">
            <v/>
          </cell>
          <cell r="R215">
            <v>45950</v>
          </cell>
          <cell r="S215">
            <v>45950</v>
          </cell>
          <cell r="T215">
            <v>45950</v>
          </cell>
          <cell r="U215" t="str">
            <v>AA8851474</v>
          </cell>
          <cell r="V215" t="str">
            <v>보통인부</v>
          </cell>
          <cell r="W215" t="str">
            <v>태국</v>
          </cell>
        </row>
        <row r="216">
          <cell r="A216" t="str">
            <v>무안</v>
          </cell>
          <cell r="C216" t="str">
            <v>800628-5</v>
          </cell>
          <cell r="D216" t="str">
            <v>010-6696-3916</v>
          </cell>
          <cell r="E216">
            <v>140000</v>
          </cell>
          <cell r="F216" t="str">
            <v>남</v>
          </cell>
          <cell r="G216">
            <v>47</v>
          </cell>
          <cell r="H216" t="str">
            <v>외국인</v>
          </cell>
          <cell r="I216" t="str">
            <v>BRAMUAN</v>
          </cell>
          <cell r="J216" t="str">
            <v>용역</v>
          </cell>
          <cell r="K216" t="str">
            <v>영서인력</v>
          </cell>
          <cell r="O216">
            <v>43963</v>
          </cell>
          <cell r="Q216" t="str">
            <v/>
          </cell>
          <cell r="R216">
            <v>45950</v>
          </cell>
          <cell r="S216">
            <v>45950</v>
          </cell>
          <cell r="T216">
            <v>45950</v>
          </cell>
          <cell r="U216" t="str">
            <v>AA8866812</v>
          </cell>
          <cell r="V216" t="str">
            <v>보통인부</v>
          </cell>
          <cell r="W216" t="str">
            <v>태국</v>
          </cell>
        </row>
        <row r="217">
          <cell r="A217" t="str">
            <v>홍</v>
          </cell>
          <cell r="B217" t="str">
            <v>원주시 원일로 172번지</v>
          </cell>
          <cell r="C217" t="str">
            <v>780628-5</v>
          </cell>
          <cell r="D217" t="str">
            <v>010-9963-6226</v>
          </cell>
          <cell r="E217">
            <v>140000</v>
          </cell>
          <cell r="F217" t="str">
            <v>남</v>
          </cell>
          <cell r="G217">
            <v>49</v>
          </cell>
          <cell r="H217" t="str">
            <v>외국인</v>
          </cell>
          <cell r="I217" t="str">
            <v>SOMSAART SUNTORN</v>
          </cell>
          <cell r="J217" t="str">
            <v>용역</v>
          </cell>
          <cell r="K217" t="str">
            <v>영서인력</v>
          </cell>
          <cell r="O217">
            <v>43276</v>
          </cell>
          <cell r="Q217" t="str">
            <v/>
          </cell>
          <cell r="R217">
            <v>45933</v>
          </cell>
          <cell r="S217">
            <v>45933</v>
          </cell>
          <cell r="T217">
            <v>45933</v>
          </cell>
          <cell r="U217" t="str">
            <v>AA8964968</v>
          </cell>
          <cell r="V217" t="str">
            <v>형틀목공</v>
          </cell>
          <cell r="W217" t="str">
            <v>태국</v>
          </cell>
        </row>
        <row r="218">
          <cell r="A218" t="str">
            <v>파르크</v>
          </cell>
          <cell r="B218" t="str">
            <v>원주시 원일로 172</v>
          </cell>
          <cell r="C218" t="str">
            <v>890210-5</v>
          </cell>
          <cell r="D218" t="str">
            <v>010-7323-8922</v>
          </cell>
          <cell r="E218">
            <v>140000</v>
          </cell>
          <cell r="F218" t="str">
            <v>남</v>
          </cell>
          <cell r="G218">
            <v>38</v>
          </cell>
          <cell r="H218" t="str">
            <v>외국인</v>
          </cell>
          <cell r="I218" t="str">
            <v>TALBONOV FARRUKH</v>
          </cell>
          <cell r="J218" t="str">
            <v>용역</v>
          </cell>
          <cell r="K218" t="str">
            <v>영서인력</v>
          </cell>
          <cell r="O218">
            <v>45268</v>
          </cell>
          <cell r="R218">
            <v>45978</v>
          </cell>
          <cell r="S218">
            <v>45978</v>
          </cell>
          <cell r="T218">
            <v>45978</v>
          </cell>
          <cell r="U218">
            <v>667607023</v>
          </cell>
          <cell r="V218" t="str">
            <v>보통인부</v>
          </cell>
          <cell r="W218" t="str">
            <v>러시아</v>
          </cell>
        </row>
        <row r="219">
          <cell r="A219" t="str">
            <v>달우라트</v>
          </cell>
          <cell r="B219" t="str">
            <v>원주시 원일로 172</v>
          </cell>
          <cell r="C219" t="str">
            <v>070126-5</v>
          </cell>
          <cell r="D219" t="str">
            <v>010-6874-0199</v>
          </cell>
          <cell r="E219">
            <v>140000</v>
          </cell>
          <cell r="F219" t="str">
            <v>남</v>
          </cell>
          <cell r="G219">
            <v>20</v>
          </cell>
          <cell r="H219" t="str">
            <v>외국인</v>
          </cell>
          <cell r="I219" t="str">
            <v>VALIEV DAVLATZHON</v>
          </cell>
          <cell r="J219" t="str">
            <v>용역</v>
          </cell>
          <cell r="K219" t="str">
            <v>영서인력</v>
          </cell>
          <cell r="O219">
            <v>45756</v>
          </cell>
          <cell r="R219">
            <v>45978</v>
          </cell>
          <cell r="S219">
            <v>45978</v>
          </cell>
          <cell r="T219">
            <v>45978</v>
          </cell>
          <cell r="U219">
            <v>754612421</v>
          </cell>
          <cell r="V219" t="str">
            <v>보통인부</v>
          </cell>
          <cell r="W219" t="str">
            <v>러시아</v>
          </cell>
        </row>
        <row r="220">
          <cell r="A220" t="str">
            <v>후세인</v>
          </cell>
          <cell r="B220" t="str">
            <v>원주시 원일로 172</v>
          </cell>
          <cell r="C220" t="str">
            <v>961121-5</v>
          </cell>
          <cell r="D220" t="str">
            <v>010-3641-7812</v>
          </cell>
          <cell r="E220">
            <v>140000</v>
          </cell>
          <cell r="F220" t="str">
            <v>남</v>
          </cell>
          <cell r="G220">
            <v>31</v>
          </cell>
          <cell r="H220" t="str">
            <v>외국인</v>
          </cell>
          <cell r="I220" t="str">
            <v>MASARDINOV ABDUVALI</v>
          </cell>
          <cell r="J220" t="str">
            <v>용역</v>
          </cell>
          <cell r="K220" t="str">
            <v>영서인력</v>
          </cell>
          <cell r="O220">
            <v>45441</v>
          </cell>
          <cell r="R220">
            <v>45980</v>
          </cell>
          <cell r="S220">
            <v>45980</v>
          </cell>
          <cell r="T220">
            <v>45980</v>
          </cell>
          <cell r="U220" t="str">
            <v>AA0909784</v>
          </cell>
          <cell r="V220" t="str">
            <v>보통인부</v>
          </cell>
          <cell r="W220" t="str">
            <v>우즈베키스탄</v>
          </cell>
        </row>
        <row r="221">
          <cell r="A221" t="str">
            <v>파크툴러</v>
          </cell>
          <cell r="B221" t="str">
            <v>원주시 원일로 172</v>
          </cell>
          <cell r="C221" t="str">
            <v>000725-5</v>
          </cell>
          <cell r="D221" t="str">
            <v>010-6809-4334</v>
          </cell>
          <cell r="E221">
            <v>140000</v>
          </cell>
          <cell r="F221" t="str">
            <v>남</v>
          </cell>
          <cell r="G221">
            <v>27</v>
          </cell>
          <cell r="H221" t="str">
            <v>외국인</v>
          </cell>
          <cell r="I221" t="str">
            <v>ABDULLOEV FATKHULLO</v>
          </cell>
          <cell r="J221" t="str">
            <v>용역</v>
          </cell>
          <cell r="K221" t="str">
            <v>영서인력</v>
          </cell>
          <cell r="O221">
            <v>45034</v>
          </cell>
          <cell r="R221">
            <v>45980</v>
          </cell>
          <cell r="S221">
            <v>45980</v>
          </cell>
          <cell r="T221">
            <v>45980</v>
          </cell>
          <cell r="U221">
            <v>664621290</v>
          </cell>
          <cell r="V221" t="str">
            <v>보통인부</v>
          </cell>
          <cell r="W221" t="str">
            <v>타지키스탄</v>
          </cell>
        </row>
        <row r="222">
          <cell r="A222" t="str">
            <v>슈나틀러</v>
          </cell>
          <cell r="B222" t="str">
            <v>원주시 원일로 172</v>
          </cell>
          <cell r="C222" t="str">
            <v>941221-5180023</v>
          </cell>
          <cell r="D222" t="str">
            <v>010-5934-9698</v>
          </cell>
          <cell r="E222">
            <v>140000</v>
          </cell>
          <cell r="F222" t="str">
            <v>남</v>
          </cell>
          <cell r="G222">
            <v>33</v>
          </cell>
          <cell r="H222" t="str">
            <v>외국인</v>
          </cell>
          <cell r="I222" t="str">
            <v>ODILOV SUNNATALI</v>
          </cell>
          <cell r="J222" t="str">
            <v>용역</v>
          </cell>
          <cell r="K222" t="str">
            <v>영서인력</v>
          </cell>
          <cell r="O222">
            <v>45432</v>
          </cell>
          <cell r="P222" t="str">
            <v>결혼이민F-6</v>
          </cell>
          <cell r="R222">
            <v>45980</v>
          </cell>
          <cell r="S222">
            <v>45980</v>
          </cell>
          <cell r="T222">
            <v>45980</v>
          </cell>
          <cell r="V222" t="str">
            <v>보통인부</v>
          </cell>
          <cell r="W222" t="str">
            <v>우즈베키스탄</v>
          </cell>
        </row>
        <row r="223">
          <cell r="A223" t="str">
            <v>파비종</v>
          </cell>
          <cell r="B223" t="str">
            <v>원주시 원일로 172</v>
          </cell>
          <cell r="C223" t="str">
            <v>820825-5</v>
          </cell>
          <cell r="D223" t="str">
            <v>010-2797-6677</v>
          </cell>
          <cell r="E223">
            <v>140000</v>
          </cell>
          <cell r="F223" t="str">
            <v>남</v>
          </cell>
          <cell r="G223">
            <v>45</v>
          </cell>
          <cell r="H223" t="str">
            <v>외국인</v>
          </cell>
          <cell r="I223" t="str">
            <v>TOIROV PARVIZDZHON</v>
          </cell>
          <cell r="J223" t="str">
            <v>용역</v>
          </cell>
          <cell r="K223" t="str">
            <v>영서인력</v>
          </cell>
          <cell r="O223">
            <v>43956</v>
          </cell>
          <cell r="R223">
            <v>45996</v>
          </cell>
          <cell r="S223">
            <v>45996</v>
          </cell>
          <cell r="T223">
            <v>45996</v>
          </cell>
          <cell r="U223">
            <v>664183031</v>
          </cell>
          <cell r="V223" t="str">
            <v>보통인부</v>
          </cell>
          <cell r="W223" t="str">
            <v>러시아</v>
          </cell>
        </row>
        <row r="224">
          <cell r="A224" t="str">
            <v>눌불</v>
          </cell>
          <cell r="B224" t="str">
            <v>강원 원주시 천사로 172</v>
          </cell>
          <cell r="C224" t="str">
            <v>021010-5</v>
          </cell>
          <cell r="D224" t="str">
            <v>010-3021-1993</v>
          </cell>
          <cell r="E224">
            <v>140000</v>
          </cell>
          <cell r="F224" t="str">
            <v>남</v>
          </cell>
          <cell r="G224">
            <v>25</v>
          </cell>
          <cell r="H224" t="str">
            <v>외국인</v>
          </cell>
          <cell r="I224" t="str">
            <v>DRAZOV NURBOL</v>
          </cell>
          <cell r="J224" t="str">
            <v>용역</v>
          </cell>
          <cell r="K224" t="str">
            <v>영서인력</v>
          </cell>
          <cell r="O224">
            <v>43765</v>
          </cell>
          <cell r="R224">
            <v>45997</v>
          </cell>
          <cell r="S224">
            <v>45997</v>
          </cell>
          <cell r="T224">
            <v>45997</v>
          </cell>
          <cell r="U224" t="str">
            <v>N14827915</v>
          </cell>
          <cell r="V224" t="str">
            <v>보통인부</v>
          </cell>
          <cell r="W224" t="str">
            <v>카자흐스탄</v>
          </cell>
        </row>
        <row r="225">
          <cell r="A225" t="str">
            <v>마소</v>
          </cell>
          <cell r="B225" t="str">
            <v>강원 원주시</v>
          </cell>
          <cell r="C225" t="str">
            <v>900315-5</v>
          </cell>
          <cell r="D225" t="str">
            <v>010-2186-0571</v>
          </cell>
          <cell r="E225">
            <v>140000</v>
          </cell>
          <cell r="F225" t="str">
            <v>남</v>
          </cell>
          <cell r="G225">
            <v>37</v>
          </cell>
          <cell r="H225" t="str">
            <v>외국인</v>
          </cell>
          <cell r="I225" t="str">
            <v>MUHAMMAD RIDHWANBINMASAUD</v>
          </cell>
          <cell r="J225" t="str">
            <v>용역</v>
          </cell>
          <cell r="K225" t="str">
            <v>영서인력</v>
          </cell>
          <cell r="O225">
            <v>44119</v>
          </cell>
          <cell r="R225">
            <v>46004</v>
          </cell>
          <cell r="S225">
            <v>46004</v>
          </cell>
          <cell r="T225">
            <v>46004</v>
          </cell>
          <cell r="U225" t="str">
            <v>A50784495</v>
          </cell>
          <cell r="V225" t="str">
            <v>보통인부</v>
          </cell>
          <cell r="W225" t="str">
            <v>말레이시아</v>
          </cell>
        </row>
        <row r="226">
          <cell r="A226" t="str">
            <v>위스키</v>
          </cell>
          <cell r="C226" t="str">
            <v>940331-5</v>
          </cell>
          <cell r="D226" t="str">
            <v>010-9813-7554</v>
          </cell>
          <cell r="E226">
            <v>140000</v>
          </cell>
          <cell r="F226" t="str">
            <v>남</v>
          </cell>
          <cell r="G226">
            <v>33</v>
          </cell>
          <cell r="H226" t="str">
            <v>외국인</v>
          </cell>
          <cell r="I226" t="str">
            <v>AHMAD RIZQI MARTONO</v>
          </cell>
          <cell r="J226" t="str">
            <v>용역</v>
          </cell>
          <cell r="K226" t="str">
            <v>영서인력</v>
          </cell>
          <cell r="O226">
            <v>44119</v>
          </cell>
          <cell r="R226">
            <v>46031</v>
          </cell>
          <cell r="S226">
            <v>46031</v>
          </cell>
          <cell r="T226">
            <v>46031</v>
          </cell>
          <cell r="U226" t="str">
            <v>E7904574</v>
          </cell>
          <cell r="V226" t="str">
            <v>보통인부</v>
          </cell>
          <cell r="W226" t="str">
            <v>인도네시아</v>
          </cell>
        </row>
        <row r="227">
          <cell r="A227" t="str">
            <v>무하마트</v>
          </cell>
          <cell r="C227" t="str">
            <v>070313-5</v>
          </cell>
          <cell r="E227">
            <v>140000</v>
          </cell>
          <cell r="F227" t="str">
            <v>남</v>
          </cell>
          <cell r="G227">
            <v>20</v>
          </cell>
          <cell r="H227" t="str">
            <v>외국인</v>
          </cell>
          <cell r="I227" t="str">
            <v>RUZIEV MUHAMMADYUSUP</v>
          </cell>
          <cell r="J227" t="str">
            <v>용역</v>
          </cell>
          <cell r="K227" t="str">
            <v>영서인력</v>
          </cell>
          <cell r="O227">
            <v>45517</v>
          </cell>
          <cell r="Q227" t="str">
            <v/>
          </cell>
          <cell r="R227">
            <v>46135</v>
          </cell>
          <cell r="S227">
            <v>46135</v>
          </cell>
          <cell r="T227">
            <v>46135</v>
          </cell>
          <cell r="U227" t="str">
            <v>FB1524533</v>
          </cell>
          <cell r="V227" t="str">
            <v>보통인부</v>
          </cell>
          <cell r="W227" t="str">
            <v>우즈베키스탄</v>
          </cell>
        </row>
        <row r="228">
          <cell r="A228" t="str">
            <v>압둘라</v>
          </cell>
          <cell r="C228" t="str">
            <v>060511-5</v>
          </cell>
          <cell r="E228">
            <v>140000</v>
          </cell>
          <cell r="F228" t="str">
            <v>남</v>
          </cell>
          <cell r="G228">
            <v>21</v>
          </cell>
          <cell r="H228" t="str">
            <v>외국인</v>
          </cell>
          <cell r="I228" t="str">
            <v>NURDINOV ABDULLOH YUSUBJON UGLI</v>
          </cell>
          <cell r="J228" t="str">
            <v>용역</v>
          </cell>
          <cell r="K228" t="str">
            <v>영서인력</v>
          </cell>
          <cell r="O228">
            <v>45517</v>
          </cell>
          <cell r="R228">
            <v>46135</v>
          </cell>
          <cell r="S228">
            <v>46135</v>
          </cell>
          <cell r="T228">
            <v>46135</v>
          </cell>
          <cell r="U228" t="str">
            <v>FB0835310</v>
          </cell>
          <cell r="V228" t="str">
            <v>보통인부</v>
          </cell>
          <cell r="W228" t="str">
            <v>우즈베키스탄</v>
          </cell>
        </row>
        <row r="229">
          <cell r="A229" t="str">
            <v>김문효</v>
          </cell>
          <cell r="B229" t="str">
            <v>원주시 상지대길 66-18</v>
          </cell>
          <cell r="C229" t="str">
            <v>710615-5</v>
          </cell>
          <cell r="D229" t="str">
            <v>010-8707-7725</v>
          </cell>
          <cell r="E229">
            <v>140000</v>
          </cell>
          <cell r="F229" t="str">
            <v>남</v>
          </cell>
          <cell r="G229">
            <v>56</v>
          </cell>
          <cell r="H229" t="str">
            <v>외국인</v>
          </cell>
          <cell r="I229" t="str">
            <v>JIN WENHE</v>
          </cell>
          <cell r="J229" t="str">
            <v>용역</v>
          </cell>
          <cell r="K229" t="str">
            <v>영서인력</v>
          </cell>
          <cell r="O229">
            <v>43549</v>
          </cell>
          <cell r="R229">
            <v>46140</v>
          </cell>
          <cell r="S229">
            <v>46140</v>
          </cell>
          <cell r="T229">
            <v>46140</v>
          </cell>
          <cell r="U229" t="str">
            <v>EJ5109397</v>
          </cell>
          <cell r="V229" t="str">
            <v>보통인부</v>
          </cell>
          <cell r="W229" t="str">
            <v>중국</v>
          </cell>
        </row>
        <row r="230">
          <cell r="A230" t="str">
            <v>페리</v>
          </cell>
          <cell r="B230" t="str">
            <v>원주시 유원길 6-6</v>
          </cell>
          <cell r="C230" t="str">
            <v>960823-5</v>
          </cell>
          <cell r="D230" t="str">
            <v>010-9701-9608</v>
          </cell>
          <cell r="E230">
            <v>140000</v>
          </cell>
          <cell r="F230" t="str">
            <v>남</v>
          </cell>
          <cell r="G230">
            <v>31</v>
          </cell>
          <cell r="H230" t="str">
            <v>외국인</v>
          </cell>
          <cell r="I230" t="str">
            <v>PERI ANDRIYANTO</v>
          </cell>
          <cell r="J230" t="str">
            <v>용역</v>
          </cell>
          <cell r="K230" t="str">
            <v>영서인력</v>
          </cell>
          <cell r="O230">
            <v>45517</v>
          </cell>
          <cell r="R230">
            <v>46140</v>
          </cell>
          <cell r="S230">
            <v>46140</v>
          </cell>
          <cell r="T230">
            <v>46140</v>
          </cell>
          <cell r="U230" t="str">
            <v>E7963990</v>
          </cell>
          <cell r="V230" t="str">
            <v>보통인부</v>
          </cell>
          <cell r="W230" t="str">
            <v>인도네시아</v>
          </cell>
        </row>
        <row r="231">
          <cell r="A231" t="str">
            <v>델쇼드</v>
          </cell>
          <cell r="C231" t="str">
            <v>931009-5</v>
          </cell>
          <cell r="D231" t="str">
            <v>010-2195-1444</v>
          </cell>
          <cell r="E231">
            <v>140000</v>
          </cell>
          <cell r="F231" t="str">
            <v>남</v>
          </cell>
          <cell r="G231">
            <v>34</v>
          </cell>
          <cell r="H231" t="str">
            <v>외국인</v>
          </cell>
          <cell r="I231" t="str">
            <v>HASANOV DILSHOD</v>
          </cell>
          <cell r="J231" t="str">
            <v>용역</v>
          </cell>
          <cell r="K231" t="str">
            <v>영서인력</v>
          </cell>
          <cell r="M231" t="str">
            <v>`</v>
          </cell>
          <cell r="O231">
            <v>45551</v>
          </cell>
          <cell r="R231">
            <v>46148</v>
          </cell>
          <cell r="S231">
            <v>46148</v>
          </cell>
          <cell r="T231">
            <v>46148</v>
          </cell>
          <cell r="U231">
            <v>405333280</v>
          </cell>
          <cell r="V231" t="str">
            <v>보통인부</v>
          </cell>
          <cell r="W231" t="str">
            <v>타지키스탄</v>
          </cell>
        </row>
        <row r="232">
          <cell r="A232" t="str">
            <v>도드크</v>
          </cell>
          <cell r="B232" t="str">
            <v>경북 경산시 압량읍 처운 2동 17길4,302호</v>
          </cell>
          <cell r="C232" t="str">
            <v>990427-5760024</v>
          </cell>
          <cell r="D232" t="str">
            <v>010-8058-1515</v>
          </cell>
          <cell r="E232">
            <v>140000</v>
          </cell>
          <cell r="F232" t="str">
            <v>남</v>
          </cell>
          <cell r="G232">
            <v>28</v>
          </cell>
          <cell r="H232" t="str">
            <v>외국인</v>
          </cell>
          <cell r="I232" t="str">
            <v>TOJIBOEV MUKHAMMADR ASUL JAKHONGIR UGLI</v>
          </cell>
          <cell r="J232" t="str">
            <v>용역</v>
          </cell>
          <cell r="K232" t="str">
            <v>영서인력</v>
          </cell>
          <cell r="O232">
            <v>43896</v>
          </cell>
          <cell r="P232" t="str">
            <v>구직D10</v>
          </cell>
          <cell r="Q232">
            <v>45524</v>
          </cell>
          <cell r="R232">
            <v>46149</v>
          </cell>
          <cell r="S232">
            <v>46149</v>
          </cell>
          <cell r="T232">
            <v>46149</v>
          </cell>
          <cell r="V232" t="str">
            <v>보통인부</v>
          </cell>
          <cell r="W232" t="str">
            <v>우즈베키스탄</v>
          </cell>
        </row>
        <row r="233">
          <cell r="A233" t="str">
            <v>알리</v>
          </cell>
          <cell r="C233" t="str">
            <v>020510-5</v>
          </cell>
          <cell r="D233" t="str">
            <v>010-5856-6445</v>
          </cell>
          <cell r="E233">
            <v>140000</v>
          </cell>
          <cell r="F233" t="str">
            <v>남</v>
          </cell>
          <cell r="G233">
            <v>25</v>
          </cell>
          <cell r="H233" t="str">
            <v>외국인</v>
          </cell>
          <cell r="I233" t="str">
            <v>ABDULLOEV VALIDZHON</v>
          </cell>
          <cell r="J233" t="str">
            <v>용역</v>
          </cell>
          <cell r="K233" t="str">
            <v>영서인력</v>
          </cell>
          <cell r="O233">
            <v>45303</v>
          </cell>
          <cell r="R233">
            <v>46154</v>
          </cell>
          <cell r="S233">
            <v>46154</v>
          </cell>
          <cell r="T233">
            <v>46154</v>
          </cell>
          <cell r="U233">
            <v>772269850</v>
          </cell>
          <cell r="V233" t="str">
            <v>보통인부</v>
          </cell>
          <cell r="W233" t="str">
            <v>러시아</v>
          </cell>
        </row>
        <row r="234">
          <cell r="A234" t="str">
            <v>슈크라트영</v>
          </cell>
          <cell r="C234" t="str">
            <v>991113-5</v>
          </cell>
          <cell r="D234" t="str">
            <v>010-2698-0200</v>
          </cell>
          <cell r="E234">
            <v>140000</v>
          </cell>
          <cell r="F234" t="str">
            <v>남</v>
          </cell>
          <cell r="G234">
            <v>28</v>
          </cell>
          <cell r="H234" t="str">
            <v>외국인</v>
          </cell>
          <cell r="I234" t="str">
            <v>ROFIEV SHUKHRATDZHON</v>
          </cell>
          <cell r="J234" t="str">
            <v>용역</v>
          </cell>
          <cell r="K234" t="str">
            <v>영서인력</v>
          </cell>
          <cell r="O234">
            <v>44669</v>
          </cell>
          <cell r="R234">
            <v>46154</v>
          </cell>
          <cell r="S234">
            <v>46154</v>
          </cell>
          <cell r="T234">
            <v>46154</v>
          </cell>
          <cell r="U234">
            <v>760790969</v>
          </cell>
          <cell r="V234" t="str">
            <v>보통인부</v>
          </cell>
          <cell r="W234" t="str">
            <v>러시아</v>
          </cell>
        </row>
        <row r="235">
          <cell r="A235" t="str">
            <v>누리</v>
          </cell>
          <cell r="C235" t="str">
            <v>970614-5</v>
          </cell>
          <cell r="D235" t="str">
            <v>010-6581-1970</v>
          </cell>
          <cell r="E235">
            <v>140000</v>
          </cell>
          <cell r="F235" t="str">
            <v>남</v>
          </cell>
          <cell r="G235">
            <v>30</v>
          </cell>
          <cell r="H235" t="str">
            <v>외국인</v>
          </cell>
          <cell r="I235" t="str">
            <v>NAZIRJONOV NURIDDIN NOSIRBEK UGLI</v>
          </cell>
          <cell r="J235" t="str">
            <v>용역</v>
          </cell>
          <cell r="K235" t="str">
            <v>영서인력</v>
          </cell>
          <cell r="R235">
            <v>46154</v>
          </cell>
          <cell r="S235">
            <v>46154</v>
          </cell>
          <cell r="T235">
            <v>46154</v>
          </cell>
          <cell r="U235" t="str">
            <v>FB1101868</v>
          </cell>
          <cell r="V235" t="str">
            <v>보통인부</v>
          </cell>
          <cell r="W235" t="str">
            <v>우즈베키스탄</v>
          </cell>
        </row>
        <row r="236">
          <cell r="A236" t="str">
            <v>라마</v>
          </cell>
          <cell r="B236" t="str">
            <v>원주시 원일로 172번지</v>
          </cell>
          <cell r="C236" t="str">
            <v>910921-5</v>
          </cell>
          <cell r="D236" t="str">
            <v>010-3246-7557</v>
          </cell>
          <cell r="E236">
            <v>140000</v>
          </cell>
          <cell r="F236" t="str">
            <v>남</v>
          </cell>
          <cell r="G236">
            <v>36</v>
          </cell>
          <cell r="H236" t="str">
            <v>외국인</v>
          </cell>
          <cell r="I236" t="str">
            <v>KADIROV YUSUFBEK</v>
          </cell>
          <cell r="J236" t="str">
            <v>용역</v>
          </cell>
          <cell r="K236" t="str">
            <v>영서인력</v>
          </cell>
          <cell r="O236">
            <v>44024</v>
          </cell>
          <cell r="R236">
            <v>46156</v>
          </cell>
          <cell r="S236">
            <v>46156</v>
          </cell>
          <cell r="T236">
            <v>46156</v>
          </cell>
          <cell r="U236" t="str">
            <v>AB4298509</v>
          </cell>
          <cell r="V236" t="str">
            <v>보통인부</v>
          </cell>
          <cell r="W236" t="str">
            <v>우즈베키스탄</v>
          </cell>
        </row>
        <row r="237">
          <cell r="A237" t="str">
            <v>슈크라영</v>
          </cell>
          <cell r="B237" t="str">
            <v>원주시 원일로 172번지</v>
          </cell>
          <cell r="C237" t="str">
            <v>980422-5</v>
          </cell>
          <cell r="D237" t="str">
            <v>010-3021-0498</v>
          </cell>
          <cell r="E237">
            <v>140000</v>
          </cell>
          <cell r="F237" t="str">
            <v>남</v>
          </cell>
          <cell r="G237">
            <v>29</v>
          </cell>
          <cell r="H237" t="str">
            <v>외국인</v>
          </cell>
          <cell r="I237" t="str">
            <v>MADAMINBEK UULU SHUKURALI</v>
          </cell>
          <cell r="J237" t="str">
            <v>용역</v>
          </cell>
          <cell r="K237" t="str">
            <v>영서인력</v>
          </cell>
          <cell r="O237">
            <v>45966</v>
          </cell>
          <cell r="R237">
            <v>46156</v>
          </cell>
          <cell r="S237">
            <v>46156</v>
          </cell>
          <cell r="T237">
            <v>46156</v>
          </cell>
          <cell r="U237" t="str">
            <v>PE1594542</v>
          </cell>
          <cell r="V237" t="str">
            <v>보통인부</v>
          </cell>
          <cell r="W237" t="str">
            <v>키르기스스탄</v>
          </cell>
        </row>
        <row r="238">
          <cell r="A238" t="str">
            <v>자수르</v>
          </cell>
          <cell r="B238" t="str">
            <v>원주시 원일로 172번지</v>
          </cell>
          <cell r="C238" t="str">
            <v>060301-5</v>
          </cell>
          <cell r="D238" t="str">
            <v>010-8266-2006</v>
          </cell>
          <cell r="E238">
            <v>140000</v>
          </cell>
          <cell r="F238" t="str">
            <v>남</v>
          </cell>
          <cell r="G238">
            <v>21</v>
          </cell>
          <cell r="H238" t="str">
            <v>외국인</v>
          </cell>
          <cell r="I238" t="str">
            <v>ERGASHOV ZHASURBEK</v>
          </cell>
          <cell r="J238" t="str">
            <v>용역</v>
          </cell>
          <cell r="K238" t="str">
            <v>영서인력</v>
          </cell>
          <cell r="O238">
            <v>45966</v>
          </cell>
          <cell r="R238">
            <v>46156</v>
          </cell>
          <cell r="S238">
            <v>46156</v>
          </cell>
          <cell r="T238">
            <v>46156</v>
          </cell>
          <cell r="U238" t="str">
            <v>PE0698761</v>
          </cell>
          <cell r="V238" t="str">
            <v>보통인부</v>
          </cell>
          <cell r="W238" t="str">
            <v>키르기스스탄</v>
          </cell>
        </row>
        <row r="239">
          <cell r="A239" t="str">
            <v>무함마드</v>
          </cell>
          <cell r="C239" t="str">
            <v>951214-5</v>
          </cell>
          <cell r="E239">
            <v>140000</v>
          </cell>
          <cell r="F239" t="str">
            <v>남</v>
          </cell>
          <cell r="G239">
            <v>32</v>
          </cell>
          <cell r="H239" t="str">
            <v>외국인</v>
          </cell>
          <cell r="I239" t="str">
            <v>GAFUROV MUKHAMMADZOIRSHOKH</v>
          </cell>
          <cell r="J239" t="str">
            <v>용역</v>
          </cell>
          <cell r="K239" t="str">
            <v>영서인력</v>
          </cell>
          <cell r="O239">
            <v>45389</v>
          </cell>
          <cell r="R239">
            <v>46186</v>
          </cell>
          <cell r="S239">
            <v>46186</v>
          </cell>
          <cell r="T239">
            <v>46186</v>
          </cell>
          <cell r="U239">
            <v>764567550</v>
          </cell>
          <cell r="V239" t="str">
            <v>보통인부</v>
          </cell>
          <cell r="W239" t="str">
            <v>러시아</v>
          </cell>
        </row>
        <row r="240">
          <cell r="A240" t="str">
            <v>아누실</v>
          </cell>
          <cell r="C240" t="str">
            <v>000402-5</v>
          </cell>
          <cell r="E240">
            <v>140000</v>
          </cell>
          <cell r="F240" t="str">
            <v>남</v>
          </cell>
          <cell r="G240">
            <v>27</v>
          </cell>
          <cell r="H240" t="str">
            <v>외국인</v>
          </cell>
          <cell r="I240" t="str">
            <v>MADAMINOV ANUSHERVON</v>
          </cell>
          <cell r="J240" t="str">
            <v>용역</v>
          </cell>
          <cell r="K240" t="str">
            <v>영서인력</v>
          </cell>
          <cell r="O240">
            <v>44969</v>
          </cell>
          <cell r="R240">
            <v>46186</v>
          </cell>
          <cell r="S240">
            <v>46186</v>
          </cell>
          <cell r="T240">
            <v>46186</v>
          </cell>
          <cell r="U240">
            <v>765115435</v>
          </cell>
          <cell r="V240" t="str">
            <v>보통인부</v>
          </cell>
          <cell r="W240" t="str">
            <v>러시아</v>
          </cell>
        </row>
        <row r="241">
          <cell r="A241" t="str">
            <v>이자툴러</v>
          </cell>
          <cell r="B241" t="str">
            <v>원주시 원일로 172번지</v>
          </cell>
          <cell r="C241" t="str">
            <v>981130-5</v>
          </cell>
          <cell r="D241" t="str">
            <v>010-7715-9228</v>
          </cell>
          <cell r="E241">
            <v>140000</v>
          </cell>
          <cell r="F241" t="str">
            <v>남</v>
          </cell>
          <cell r="G241">
            <v>29</v>
          </cell>
          <cell r="H241" t="str">
            <v>외국인</v>
          </cell>
          <cell r="I241" t="str">
            <v>DURNEV VIKTOR</v>
          </cell>
          <cell r="J241" t="str">
            <v>용역</v>
          </cell>
          <cell r="K241" t="str">
            <v>영서인력</v>
          </cell>
          <cell r="L241" t="str">
            <v>1010-2735-4600</v>
          </cell>
          <cell r="M241" t="str">
            <v>수협은행</v>
          </cell>
          <cell r="N241" t="str">
            <v>(주)우민이엔지</v>
          </cell>
          <cell r="O241">
            <v>44901</v>
          </cell>
          <cell r="R241">
            <v>46196</v>
          </cell>
          <cell r="S241">
            <v>46196</v>
          </cell>
          <cell r="T241">
            <v>46196</v>
          </cell>
          <cell r="U241">
            <v>766320197</v>
          </cell>
          <cell r="V241" t="str">
            <v>보통인부</v>
          </cell>
          <cell r="W241" t="str">
            <v>러시아</v>
          </cell>
        </row>
        <row r="242">
          <cell r="A242" t="str">
            <v>라만</v>
          </cell>
          <cell r="B242" t="str">
            <v>신규 안받고 귀가</v>
          </cell>
          <cell r="E242">
            <v>140000</v>
          </cell>
          <cell r="F242" t="str">
            <v/>
          </cell>
          <cell r="G242" t="str">
            <v/>
          </cell>
          <cell r="H242" t="str">
            <v/>
          </cell>
          <cell r="Q242" t="str">
            <v/>
          </cell>
        </row>
        <row r="243">
          <cell r="A243" t="str">
            <v>아술릿띤</v>
          </cell>
          <cell r="B243" t="str">
            <v>원주시 원일로 172번지</v>
          </cell>
          <cell r="C243" t="str">
            <v>040101-5</v>
          </cell>
          <cell r="D243" t="str">
            <v>010-3641-7812</v>
          </cell>
          <cell r="E243">
            <v>140000</v>
          </cell>
          <cell r="F243" t="str">
            <v>남</v>
          </cell>
          <cell r="G243">
            <v>23</v>
          </cell>
          <cell r="H243" t="str">
            <v>외국인</v>
          </cell>
          <cell r="I243" t="str">
            <v>SAIDOV HOJIAKBAR</v>
          </cell>
          <cell r="J243" t="str">
            <v>용역</v>
          </cell>
          <cell r="K243" t="str">
            <v>영서인력</v>
          </cell>
          <cell r="L243" t="str">
            <v>1010-2735-4600</v>
          </cell>
          <cell r="M243" t="str">
            <v>수협은행</v>
          </cell>
          <cell r="N243" t="str">
            <v>(주)우민이엔지</v>
          </cell>
          <cell r="O243">
            <v>45581</v>
          </cell>
          <cell r="R243">
            <v>46192</v>
          </cell>
          <cell r="S243">
            <v>46192</v>
          </cell>
          <cell r="T243">
            <v>46192</v>
          </cell>
          <cell r="U243">
            <v>403180184</v>
          </cell>
          <cell r="V243" t="str">
            <v>보통인부</v>
          </cell>
          <cell r="W243" t="str">
            <v>타지키스탄</v>
          </cell>
        </row>
        <row r="244">
          <cell r="A244" t="str">
            <v>파룩크</v>
          </cell>
          <cell r="B244" t="str">
            <v>원주시 원일로 172번지</v>
          </cell>
          <cell r="C244" t="str">
            <v>051227-5</v>
          </cell>
          <cell r="D244" t="str">
            <v>010-6788-0812</v>
          </cell>
          <cell r="E244">
            <v>140000</v>
          </cell>
          <cell r="F244" t="str">
            <v>남</v>
          </cell>
          <cell r="G244">
            <v>22</v>
          </cell>
          <cell r="H244" t="str">
            <v>외국인</v>
          </cell>
          <cell r="I244" t="str">
            <v>ABATOV FARRUKH</v>
          </cell>
          <cell r="J244" t="str">
            <v>용역</v>
          </cell>
          <cell r="K244" t="str">
            <v>영서인력</v>
          </cell>
          <cell r="L244" t="str">
            <v>1010-2735-4600</v>
          </cell>
          <cell r="M244" t="str">
            <v>수협은행</v>
          </cell>
          <cell r="N244" t="str">
            <v>(주)우민이엔지</v>
          </cell>
          <cell r="O244">
            <v>44665</v>
          </cell>
          <cell r="R244">
            <v>46193</v>
          </cell>
          <cell r="S244">
            <v>46193</v>
          </cell>
          <cell r="T244">
            <v>46193</v>
          </cell>
          <cell r="U244" t="str">
            <v>N14101770</v>
          </cell>
          <cell r="V244" t="str">
            <v>보통인부</v>
          </cell>
          <cell r="W244" t="str">
            <v>카자흐스탄</v>
          </cell>
        </row>
        <row r="245">
          <cell r="A245" t="str">
            <v>후르쉬드벡</v>
          </cell>
          <cell r="B245" t="str">
            <v>원주시 원일로 172번지</v>
          </cell>
          <cell r="C245" t="str">
            <v>990921-5</v>
          </cell>
          <cell r="D245" t="str">
            <v>010-3641-7812</v>
          </cell>
          <cell r="E245">
            <v>140000</v>
          </cell>
          <cell r="F245" t="str">
            <v>남</v>
          </cell>
          <cell r="G245">
            <v>28</v>
          </cell>
          <cell r="H245" t="str">
            <v>외국인</v>
          </cell>
          <cell r="I245" t="str">
            <v>KODIROV KHURSHIDBEK KHUSANBOY UGLI</v>
          </cell>
          <cell r="J245" t="str">
            <v>용역</v>
          </cell>
          <cell r="K245" t="str">
            <v>영서인력</v>
          </cell>
          <cell r="L245" t="str">
            <v>1010-2735-4600</v>
          </cell>
          <cell r="M245" t="str">
            <v>수협은행</v>
          </cell>
          <cell r="N245" t="str">
            <v>(주)우민이엔지</v>
          </cell>
          <cell r="O245">
            <v>45406</v>
          </cell>
          <cell r="R245">
            <v>46193</v>
          </cell>
          <cell r="S245">
            <v>46193</v>
          </cell>
          <cell r="T245">
            <v>46193</v>
          </cell>
          <cell r="U245" t="str">
            <v>FB1614218</v>
          </cell>
          <cell r="V245" t="str">
            <v>보통인부</v>
          </cell>
        </row>
        <row r="246">
          <cell r="A246" t="str">
            <v>소딕</v>
          </cell>
          <cell r="C246" t="str">
            <v>050328-5</v>
          </cell>
          <cell r="D246" t="str">
            <v>010-2379-6543</v>
          </cell>
          <cell r="E246">
            <v>140000</v>
          </cell>
          <cell r="F246" t="str">
            <v>남</v>
          </cell>
          <cell r="G246">
            <v>22</v>
          </cell>
          <cell r="H246" t="str">
            <v>외국인</v>
          </cell>
          <cell r="I246" t="str">
            <v>KODIROVMUKHAMMADSODIK MURODILOVICH</v>
          </cell>
          <cell r="J246" t="str">
            <v>용역</v>
          </cell>
          <cell r="K246" t="str">
            <v>영서인력</v>
          </cell>
          <cell r="L246" t="str">
            <v>1010-2735-4600</v>
          </cell>
          <cell r="M246" t="str">
            <v>수협은행</v>
          </cell>
          <cell r="N246" t="str">
            <v>(주)우민이엔지</v>
          </cell>
          <cell r="O246">
            <v>45550</v>
          </cell>
          <cell r="R246">
            <v>46213</v>
          </cell>
          <cell r="S246">
            <v>46213</v>
          </cell>
          <cell r="T246">
            <v>46213</v>
          </cell>
          <cell r="U246" t="str">
            <v>FA9559409</v>
          </cell>
          <cell r="V246" t="str">
            <v>보통인부</v>
          </cell>
          <cell r="W246" t="str">
            <v>우즈베키스탄</v>
          </cell>
        </row>
        <row r="247">
          <cell r="A247" t="str">
            <v>잠</v>
          </cell>
          <cell r="C247" t="str">
            <v>761021-5</v>
          </cell>
          <cell r="D247" t="str">
            <v>010-7315-4728</v>
          </cell>
          <cell r="E247">
            <v>140000</v>
          </cell>
          <cell r="F247" t="str">
            <v>남</v>
          </cell>
          <cell r="G247">
            <v>51</v>
          </cell>
          <cell r="H247" t="str">
            <v>외국인</v>
          </cell>
          <cell r="I247" t="str">
            <v>AMENORZAM BIN SAAD</v>
          </cell>
          <cell r="J247" t="str">
            <v>용역</v>
          </cell>
          <cell r="K247" t="str">
            <v>영서인력</v>
          </cell>
          <cell r="L247" t="str">
            <v>1010-2735-4600</v>
          </cell>
          <cell r="M247" t="str">
            <v>수협은행</v>
          </cell>
          <cell r="N247" t="str">
            <v>(주)우민이엔지</v>
          </cell>
          <cell r="O247">
            <v>45794</v>
          </cell>
          <cell r="R247">
            <v>46213</v>
          </cell>
          <cell r="S247">
            <v>46213</v>
          </cell>
          <cell r="T247">
            <v>46213</v>
          </cell>
          <cell r="U247" t="str">
            <v>A58879587</v>
          </cell>
          <cell r="V247" t="str">
            <v>보통인부</v>
          </cell>
          <cell r="W247" t="str">
            <v>말레이시아</v>
          </cell>
        </row>
        <row r="248">
          <cell r="A248" t="str">
            <v>에브게니</v>
          </cell>
          <cell r="C248" t="str">
            <v>740502-5</v>
          </cell>
          <cell r="D248" t="str">
            <v>010-3946-7517</v>
          </cell>
          <cell r="E248">
            <v>140000</v>
          </cell>
          <cell r="F248" t="str">
            <v>남</v>
          </cell>
          <cell r="G248">
            <v>53</v>
          </cell>
          <cell r="H248" t="str">
            <v>외국인</v>
          </cell>
          <cell r="I248" t="str">
            <v>MARTYNOV EVGENII</v>
          </cell>
          <cell r="J248" t="str">
            <v>용역</v>
          </cell>
          <cell r="K248" t="str">
            <v>영서인력</v>
          </cell>
          <cell r="L248" t="str">
            <v>1010-2735-4600</v>
          </cell>
          <cell r="M248" t="str">
            <v>수협은행</v>
          </cell>
          <cell r="N248" t="str">
            <v>(주)우민이엔지</v>
          </cell>
          <cell r="O248">
            <v>45266</v>
          </cell>
          <cell r="R248">
            <v>46213</v>
          </cell>
          <cell r="S248">
            <v>46213</v>
          </cell>
          <cell r="T248">
            <v>46213</v>
          </cell>
          <cell r="U248">
            <v>770157177</v>
          </cell>
          <cell r="V248" t="str">
            <v>보통인부</v>
          </cell>
          <cell r="W248" t="str">
            <v>러시아</v>
          </cell>
        </row>
        <row r="249">
          <cell r="A249" t="str">
            <v>오저드</v>
          </cell>
          <cell r="C249" t="str">
            <v>870531-5</v>
          </cell>
          <cell r="D249" t="str">
            <v>010-2773-0324</v>
          </cell>
          <cell r="E249">
            <v>140000</v>
          </cell>
          <cell r="F249" t="str">
            <v>남</v>
          </cell>
          <cell r="G249">
            <v>40</v>
          </cell>
          <cell r="H249" t="str">
            <v>외국인</v>
          </cell>
          <cell r="I249" t="str">
            <v>ABDIYEV OZOD</v>
          </cell>
          <cell r="J249" t="str">
            <v>용역</v>
          </cell>
          <cell r="K249" t="str">
            <v>영서인력</v>
          </cell>
          <cell r="L249" t="str">
            <v>1010-2735-4600</v>
          </cell>
          <cell r="M249" t="str">
            <v>수협은행</v>
          </cell>
          <cell r="N249" t="str">
            <v>(주)우민이엔지</v>
          </cell>
          <cell r="O249">
            <v>44753</v>
          </cell>
          <cell r="R249">
            <v>46234</v>
          </cell>
          <cell r="S249">
            <v>46234</v>
          </cell>
          <cell r="T249">
            <v>46234</v>
          </cell>
          <cell r="U249" t="str">
            <v>FA1019342</v>
          </cell>
          <cell r="V249" t="str">
            <v>보통인부</v>
          </cell>
          <cell r="W249" t="str">
            <v>우즈베키스탄</v>
          </cell>
        </row>
        <row r="251">
          <cell r="F251" t="str">
            <v/>
          </cell>
          <cell r="G251" t="str">
            <v/>
          </cell>
          <cell r="H251" t="str">
            <v/>
          </cell>
          <cell r="Q251" t="str">
            <v/>
          </cell>
        </row>
        <row r="252">
          <cell r="F252" t="str">
            <v/>
          </cell>
          <cell r="G252" t="str">
            <v/>
          </cell>
          <cell r="H252" t="str">
            <v/>
          </cell>
          <cell r="Q252" t="str">
            <v/>
          </cell>
        </row>
        <row r="253">
          <cell r="F253" t="str">
            <v/>
          </cell>
          <cell r="G253" t="str">
            <v/>
          </cell>
          <cell r="H253" t="str">
            <v/>
          </cell>
          <cell r="Q253" t="str">
            <v/>
          </cell>
        </row>
        <row r="254">
          <cell r="F254" t="str">
            <v/>
          </cell>
          <cell r="G254" t="str">
            <v/>
          </cell>
          <cell r="H254" t="str">
            <v/>
          </cell>
          <cell r="Q254" t="str">
            <v/>
          </cell>
        </row>
        <row r="255">
          <cell r="A255" t="str">
            <v>123인력</v>
          </cell>
          <cell r="B255" t="str">
            <v>강원 원주 단구로 243,지하1층</v>
          </cell>
          <cell r="C255" t="str">
            <v>870-01-03892</v>
          </cell>
          <cell r="D255" t="str">
            <v>033-763-1691</v>
          </cell>
          <cell r="F255" t="str">
            <v>여</v>
          </cell>
          <cell r="G255">
            <v>40</v>
          </cell>
          <cell r="H255" t="str">
            <v>-</v>
          </cell>
          <cell r="J255" t="str">
            <v>원종욱</v>
          </cell>
          <cell r="K255" t="str">
            <v>123종합인력</v>
          </cell>
          <cell r="L255" t="str">
            <v>352-5371-9649-73</v>
          </cell>
          <cell r="M255" t="str">
            <v>농협은행</v>
          </cell>
          <cell r="N255" t="str">
            <v>원종욱</v>
          </cell>
          <cell r="Q255" t="str">
            <v/>
          </cell>
        </row>
        <row r="256">
          <cell r="A256" t="str">
            <v>지두로</v>
          </cell>
          <cell r="F256" t="str">
            <v/>
          </cell>
          <cell r="G256" t="str">
            <v/>
          </cell>
          <cell r="H256" t="str">
            <v/>
          </cell>
          <cell r="Q256" t="str">
            <v/>
          </cell>
        </row>
        <row r="257">
          <cell r="A257" t="str">
            <v>김병배</v>
          </cell>
          <cell r="B257" t="str">
            <v>강원 원주시 명륜동 76-8</v>
          </cell>
          <cell r="C257" t="str">
            <v>610429-1249117</v>
          </cell>
          <cell r="E257">
            <v>180000</v>
          </cell>
          <cell r="F257" t="str">
            <v>남</v>
          </cell>
          <cell r="G257">
            <v>66</v>
          </cell>
          <cell r="H257" t="str">
            <v>-</v>
          </cell>
          <cell r="J257" t="str">
            <v>용역</v>
          </cell>
          <cell r="K257" t="str">
            <v>123인력</v>
          </cell>
          <cell r="L257" t="str">
            <v>1010-2735-4600</v>
          </cell>
          <cell r="M257" t="str">
            <v>수협은행</v>
          </cell>
          <cell r="N257" t="str">
            <v>(주)우민이엔지</v>
          </cell>
          <cell r="O257">
            <v>41530</v>
          </cell>
          <cell r="R257">
            <v>46001</v>
          </cell>
          <cell r="S257">
            <v>46001</v>
          </cell>
          <cell r="T257">
            <v>46001</v>
          </cell>
          <cell r="V257" t="str">
            <v>보통인부</v>
          </cell>
        </row>
        <row r="258">
          <cell r="A258" t="str">
            <v>김호현</v>
          </cell>
          <cell r="B258" t="str">
            <v>원주시 살대울모래기길 191-13</v>
          </cell>
          <cell r="C258" t="str">
            <v>710714-1268610</v>
          </cell>
          <cell r="D258" t="str">
            <v>010-2375-1563</v>
          </cell>
          <cell r="E258">
            <v>150000</v>
          </cell>
          <cell r="F258" t="str">
            <v>남</v>
          </cell>
          <cell r="G258">
            <v>56</v>
          </cell>
          <cell r="H258" t="str">
            <v>-</v>
          </cell>
          <cell r="J258" t="str">
            <v>용역</v>
          </cell>
          <cell r="K258" t="str">
            <v>123인력</v>
          </cell>
          <cell r="L258" t="str">
            <v>1010-2735-4600</v>
          </cell>
          <cell r="M258" t="str">
            <v>수협은행</v>
          </cell>
          <cell r="N258" t="str">
            <v>(주)우민이엔지</v>
          </cell>
          <cell r="O258">
            <v>41269</v>
          </cell>
          <cell r="R258">
            <v>45993</v>
          </cell>
          <cell r="S258">
            <v>45993</v>
          </cell>
          <cell r="T258">
            <v>45993</v>
          </cell>
          <cell r="V258" t="str">
            <v>보통인부</v>
          </cell>
        </row>
        <row r="259">
          <cell r="A259" t="str">
            <v>이정규용</v>
          </cell>
          <cell r="B259" t="str">
            <v>원주시 송림길 12-7, 201호</v>
          </cell>
          <cell r="C259" t="str">
            <v>681021-1326715</v>
          </cell>
          <cell r="D259" t="str">
            <v>010-7702-5086</v>
          </cell>
          <cell r="E259">
            <v>150000</v>
          </cell>
          <cell r="F259" t="str">
            <v>남</v>
          </cell>
          <cell r="G259">
            <v>59</v>
          </cell>
          <cell r="H259" t="str">
            <v>-</v>
          </cell>
          <cell r="J259" t="str">
            <v>용역</v>
          </cell>
          <cell r="K259" t="str">
            <v>123인력</v>
          </cell>
          <cell r="L259" t="str">
            <v>1010-2735-4600</v>
          </cell>
          <cell r="M259" t="str">
            <v>수협은행</v>
          </cell>
          <cell r="N259" t="str">
            <v>(주)우민이엔지</v>
          </cell>
          <cell r="O259">
            <v>41325</v>
          </cell>
          <cell r="R259">
            <v>45993</v>
          </cell>
          <cell r="S259">
            <v>45993</v>
          </cell>
          <cell r="T259">
            <v>45993</v>
          </cell>
          <cell r="V259" t="str">
            <v>보통인부</v>
          </cell>
        </row>
        <row r="260">
          <cell r="A260" t="str">
            <v>조숭령</v>
          </cell>
          <cell r="B260" t="str">
            <v>원주시 흥업면 남원로 52,203-1208</v>
          </cell>
          <cell r="C260" t="str">
            <v>900715-1218814</v>
          </cell>
          <cell r="D260" t="str">
            <v>010-4077-2339</v>
          </cell>
          <cell r="E260">
            <v>150000</v>
          </cell>
          <cell r="F260" t="str">
            <v>남</v>
          </cell>
          <cell r="G260">
            <v>37</v>
          </cell>
          <cell r="H260" t="str">
            <v>-</v>
          </cell>
          <cell r="J260" t="str">
            <v>용역</v>
          </cell>
          <cell r="K260" t="str">
            <v>123인력</v>
          </cell>
          <cell r="L260" t="str">
            <v>1010-2735-4600</v>
          </cell>
          <cell r="M260" t="str">
            <v>수협은행</v>
          </cell>
          <cell r="N260" t="str">
            <v>(주)우민이엔지</v>
          </cell>
          <cell r="O260">
            <v>43112</v>
          </cell>
          <cell r="R260">
            <v>45993</v>
          </cell>
          <cell r="S260">
            <v>45993</v>
          </cell>
          <cell r="T260">
            <v>45993</v>
          </cell>
          <cell r="V260" t="str">
            <v>보통인부</v>
          </cell>
        </row>
        <row r="261">
          <cell r="A261" t="str">
            <v>최철정</v>
          </cell>
          <cell r="B261" t="str">
            <v>원주시 판부면 취실길 57</v>
          </cell>
          <cell r="C261" t="str">
            <v>720508-1267619</v>
          </cell>
          <cell r="D261" t="str">
            <v>010-9387-0974</v>
          </cell>
          <cell r="E261">
            <v>150000</v>
          </cell>
          <cell r="F261" t="str">
            <v>남</v>
          </cell>
          <cell r="G261">
            <v>55</v>
          </cell>
          <cell r="H261" t="str">
            <v>-</v>
          </cell>
          <cell r="J261" t="str">
            <v>용역</v>
          </cell>
          <cell r="K261" t="str">
            <v>123인력</v>
          </cell>
          <cell r="L261" t="str">
            <v>1010-2735-4600</v>
          </cell>
          <cell r="M261" t="str">
            <v>수협은행</v>
          </cell>
          <cell r="N261" t="str">
            <v>(주)우민이엔지</v>
          </cell>
          <cell r="O261">
            <v>41261</v>
          </cell>
          <cell r="R261">
            <v>45993</v>
          </cell>
          <cell r="S261">
            <v>45993</v>
          </cell>
          <cell r="T261">
            <v>45993</v>
          </cell>
          <cell r="V261" t="str">
            <v>보통인부</v>
          </cell>
        </row>
        <row r="262">
          <cell r="A262" t="str">
            <v>김용환90</v>
          </cell>
          <cell r="B262" t="str">
            <v>원주시 모란1길 86, 105-101</v>
          </cell>
          <cell r="C262" t="str">
            <v>901005-1267811</v>
          </cell>
          <cell r="D262" t="str">
            <v>010-5745-5371</v>
          </cell>
          <cell r="E262">
            <v>150000</v>
          </cell>
          <cell r="F262" t="str">
            <v>남</v>
          </cell>
          <cell r="G262">
            <v>37</v>
          </cell>
          <cell r="H262" t="str">
            <v>-</v>
          </cell>
          <cell r="J262" t="str">
            <v>용역</v>
          </cell>
          <cell r="K262" t="str">
            <v>123인력</v>
          </cell>
          <cell r="L262" t="str">
            <v>1010-2735-4600</v>
          </cell>
          <cell r="M262" t="str">
            <v>수협은행</v>
          </cell>
          <cell r="N262" t="str">
            <v>(주)우민이엔지</v>
          </cell>
          <cell r="O262">
            <v>44284</v>
          </cell>
          <cell r="R262">
            <v>45993</v>
          </cell>
          <cell r="S262">
            <v>45993</v>
          </cell>
          <cell r="T262">
            <v>45993</v>
          </cell>
          <cell r="V262" t="str">
            <v>보통인부</v>
          </cell>
        </row>
        <row r="263">
          <cell r="A263" t="str">
            <v>김용환85</v>
          </cell>
          <cell r="B263" t="str">
            <v>수원시 권선구 서부로1534,101-1103</v>
          </cell>
          <cell r="C263" t="str">
            <v>850729-1163216</v>
          </cell>
          <cell r="D263" t="str">
            <v>010-6464-8722</v>
          </cell>
          <cell r="E263">
            <v>150000</v>
          </cell>
          <cell r="F263" t="str">
            <v>남</v>
          </cell>
          <cell r="G263">
            <v>42</v>
          </cell>
          <cell r="H263" t="str">
            <v>-</v>
          </cell>
          <cell r="J263" t="str">
            <v>용역</v>
          </cell>
          <cell r="K263" t="str">
            <v>123인력</v>
          </cell>
          <cell r="L263" t="str">
            <v>1010-2735-4600</v>
          </cell>
          <cell r="M263" t="str">
            <v>수협은행</v>
          </cell>
          <cell r="N263" t="str">
            <v>(주)우민이엔지</v>
          </cell>
          <cell r="O263">
            <v>41453</v>
          </cell>
          <cell r="Q263" t="str">
            <v/>
          </cell>
          <cell r="S263">
            <v>45890</v>
          </cell>
          <cell r="T263">
            <v>45890</v>
          </cell>
          <cell r="V263" t="str">
            <v>보통인부</v>
          </cell>
        </row>
        <row r="264">
          <cell r="A264" t="str">
            <v>전광연</v>
          </cell>
          <cell r="B264" t="str">
            <v>원주시 나비허리길 96</v>
          </cell>
          <cell r="C264" t="str">
            <v>661111-1267426</v>
          </cell>
          <cell r="D264" t="str">
            <v>010-4474-4682</v>
          </cell>
          <cell r="E264">
            <v>150000</v>
          </cell>
          <cell r="F264" t="str">
            <v>남</v>
          </cell>
          <cell r="G264">
            <v>61</v>
          </cell>
          <cell r="H264" t="str">
            <v>-</v>
          </cell>
          <cell r="J264" t="str">
            <v>용역</v>
          </cell>
          <cell r="K264" t="str">
            <v>123인력</v>
          </cell>
          <cell r="L264" t="str">
            <v>1010-2735-4600</v>
          </cell>
          <cell r="M264" t="str">
            <v>수협은행</v>
          </cell>
          <cell r="N264" t="str">
            <v>(주)우민이엔지</v>
          </cell>
          <cell r="O264">
            <v>41803</v>
          </cell>
          <cell r="R264">
            <v>45994</v>
          </cell>
          <cell r="S264">
            <v>45994</v>
          </cell>
          <cell r="T264">
            <v>45994</v>
          </cell>
          <cell r="V264" t="str">
            <v>보통인부</v>
          </cell>
        </row>
        <row r="265">
          <cell r="A265" t="str">
            <v>김성백66</v>
          </cell>
          <cell r="B265" t="str">
            <v>원주시 예술관길 32,201-204</v>
          </cell>
          <cell r="C265" t="str">
            <v>660225-1268630</v>
          </cell>
          <cell r="D265" t="str">
            <v>010-2195-1611</v>
          </cell>
          <cell r="E265">
            <v>150000</v>
          </cell>
          <cell r="F265" t="str">
            <v>남</v>
          </cell>
          <cell r="G265">
            <v>61</v>
          </cell>
          <cell r="H265" t="str">
            <v>-</v>
          </cell>
          <cell r="J265" t="str">
            <v>용역</v>
          </cell>
          <cell r="K265" t="str">
            <v>123인력</v>
          </cell>
          <cell r="L265" t="str">
            <v>1010-2735-4600</v>
          </cell>
          <cell r="M265" t="str">
            <v>수협은행</v>
          </cell>
          <cell r="N265" t="str">
            <v>(주)우민이엔지</v>
          </cell>
          <cell r="O265">
            <v>44657</v>
          </cell>
          <cell r="R265">
            <v>45999</v>
          </cell>
          <cell r="S265">
            <v>45999</v>
          </cell>
          <cell r="T265">
            <v>45999</v>
          </cell>
          <cell r="V265" t="str">
            <v>보통인부</v>
          </cell>
        </row>
        <row r="266">
          <cell r="A266" t="str">
            <v>진영도</v>
          </cell>
          <cell r="B266" t="str">
            <v>강원 원주 시청로 471-14</v>
          </cell>
          <cell r="C266" t="str">
            <v>740610-1267817</v>
          </cell>
          <cell r="D266" t="str">
            <v>010-6478-4264</v>
          </cell>
          <cell r="E266">
            <v>150000</v>
          </cell>
          <cell r="F266" t="str">
            <v>남</v>
          </cell>
          <cell r="G266">
            <v>53</v>
          </cell>
          <cell r="H266" t="str">
            <v>-</v>
          </cell>
          <cell r="J266" t="str">
            <v>용역</v>
          </cell>
          <cell r="K266" t="str">
            <v>123인력</v>
          </cell>
          <cell r="L266" t="str">
            <v>1010-2735-4600</v>
          </cell>
          <cell r="M266" t="str">
            <v>수협은행</v>
          </cell>
          <cell r="N266" t="str">
            <v>(주)우민이엔지</v>
          </cell>
          <cell r="O266">
            <v>41817</v>
          </cell>
          <cell r="R266">
            <v>46002</v>
          </cell>
          <cell r="S266">
            <v>46002</v>
          </cell>
          <cell r="T266">
            <v>46002</v>
          </cell>
          <cell r="V266" t="str">
            <v>보통인부</v>
          </cell>
        </row>
        <row r="267">
          <cell r="A267" t="str">
            <v>하민수</v>
          </cell>
          <cell r="B267" t="str">
            <v>강원 원주 단계동 809 벽산101-1101</v>
          </cell>
          <cell r="C267" t="str">
            <v>920812-1267913</v>
          </cell>
          <cell r="E267">
            <v>150000</v>
          </cell>
          <cell r="F267" t="str">
            <v>남</v>
          </cell>
          <cell r="G267">
            <v>35</v>
          </cell>
          <cell r="H267" t="str">
            <v>-</v>
          </cell>
          <cell r="J267" t="str">
            <v>용역</v>
          </cell>
          <cell r="K267" t="str">
            <v>123인력</v>
          </cell>
          <cell r="L267" t="str">
            <v>1010-2735-4600</v>
          </cell>
          <cell r="M267" t="str">
            <v>수협은행</v>
          </cell>
          <cell r="N267" t="str">
            <v>(주)우민이엔지</v>
          </cell>
          <cell r="O267">
            <v>44481</v>
          </cell>
          <cell r="R267">
            <v>46003</v>
          </cell>
          <cell r="S267">
            <v>46003</v>
          </cell>
          <cell r="T267">
            <v>46003</v>
          </cell>
          <cell r="V267" t="str">
            <v>보통인부</v>
          </cell>
        </row>
        <row r="268">
          <cell r="A268" t="str">
            <v>이성규</v>
          </cell>
          <cell r="B268" t="str">
            <v>강원 원주 단관길 98-1</v>
          </cell>
          <cell r="C268" t="str">
            <v>790807-1813223</v>
          </cell>
          <cell r="D268" t="str">
            <v>010-9985-7400</v>
          </cell>
          <cell r="E268">
            <v>150000</v>
          </cell>
          <cell r="F268" t="str">
            <v>남</v>
          </cell>
          <cell r="G268">
            <v>48</v>
          </cell>
          <cell r="H268" t="str">
            <v>-</v>
          </cell>
          <cell r="J268" t="str">
            <v>용역</v>
          </cell>
          <cell r="K268" t="str">
            <v>123인력</v>
          </cell>
          <cell r="L268" t="str">
            <v>1010-2735-4600</v>
          </cell>
          <cell r="M268" t="str">
            <v>수협은행</v>
          </cell>
          <cell r="N268" t="str">
            <v>(주)우민이엔지</v>
          </cell>
          <cell r="O268">
            <v>41954</v>
          </cell>
          <cell r="R268">
            <v>46004</v>
          </cell>
          <cell r="S268">
            <v>46004</v>
          </cell>
          <cell r="T268">
            <v>46004</v>
          </cell>
          <cell r="V268" t="str">
            <v>보통인부</v>
          </cell>
        </row>
        <row r="269">
          <cell r="A269" t="str">
            <v>고성락</v>
          </cell>
          <cell r="B269" t="str">
            <v>강원 원주 학성길46, 101-106</v>
          </cell>
          <cell r="C269" t="str">
            <v>900621-1325614</v>
          </cell>
          <cell r="D269" t="str">
            <v>010-6572-8564</v>
          </cell>
          <cell r="E269">
            <v>150000</v>
          </cell>
          <cell r="F269" t="str">
            <v>남</v>
          </cell>
          <cell r="G269">
            <v>37</v>
          </cell>
          <cell r="H269" t="str">
            <v>-</v>
          </cell>
          <cell r="J269" t="str">
            <v>용역</v>
          </cell>
          <cell r="K269" t="str">
            <v>123인력</v>
          </cell>
          <cell r="L269" t="str">
            <v>1010-2735-4600</v>
          </cell>
          <cell r="M269" t="str">
            <v>수협은행</v>
          </cell>
          <cell r="N269" t="str">
            <v>(주)우민이엔지</v>
          </cell>
          <cell r="O269">
            <v>42970</v>
          </cell>
          <cell r="R269">
            <v>46006</v>
          </cell>
          <cell r="S269">
            <v>46006</v>
          </cell>
          <cell r="T269">
            <v>46006</v>
          </cell>
          <cell r="V269" t="str">
            <v>보통인부</v>
          </cell>
        </row>
        <row r="270">
          <cell r="A270" t="str">
            <v>백준호</v>
          </cell>
          <cell r="B270" t="str">
            <v>경남 거제시 옥포로328 507-302</v>
          </cell>
          <cell r="C270" t="str">
            <v>990407-1874219</v>
          </cell>
          <cell r="D270" t="str">
            <v>010-4196-6826</v>
          </cell>
          <cell r="E270">
            <v>150000</v>
          </cell>
          <cell r="F270" t="str">
            <v>남</v>
          </cell>
          <cell r="G270">
            <v>28</v>
          </cell>
          <cell r="H270" t="str">
            <v>-</v>
          </cell>
          <cell r="J270" t="str">
            <v>용역</v>
          </cell>
          <cell r="K270" t="str">
            <v>123인력</v>
          </cell>
          <cell r="L270" t="str">
            <v>1010-2735-4600</v>
          </cell>
          <cell r="M270" t="str">
            <v>수협은행</v>
          </cell>
          <cell r="N270" t="str">
            <v>(주)우민이엔지</v>
          </cell>
          <cell r="O270">
            <v>45413</v>
          </cell>
          <cell r="R270">
            <v>46006</v>
          </cell>
          <cell r="S270">
            <v>46006</v>
          </cell>
          <cell r="T270">
            <v>46006</v>
          </cell>
          <cell r="V270" t="str">
            <v>보통인부</v>
          </cell>
        </row>
        <row r="271">
          <cell r="A271" t="str">
            <v>박성준</v>
          </cell>
          <cell r="B271" t="str">
            <v>서울 관악구 봉천로21나길11, 2-304</v>
          </cell>
          <cell r="C271" t="str">
            <v>660320-1566232</v>
          </cell>
          <cell r="D271" t="str">
            <v>010-5445-4931</v>
          </cell>
          <cell r="E271">
            <v>150000</v>
          </cell>
          <cell r="F271" t="str">
            <v>남</v>
          </cell>
          <cell r="G271">
            <v>61</v>
          </cell>
          <cell r="H271" t="str">
            <v>-</v>
          </cell>
          <cell r="J271" t="str">
            <v>용역</v>
          </cell>
          <cell r="K271" t="str">
            <v>123인력</v>
          </cell>
          <cell r="L271" t="str">
            <v>1010-2735-4600</v>
          </cell>
          <cell r="M271" t="str">
            <v>수협은행</v>
          </cell>
          <cell r="N271" t="str">
            <v>(주)우민이엔지</v>
          </cell>
          <cell r="O271">
            <v>41174</v>
          </cell>
          <cell r="R271">
            <v>46009</v>
          </cell>
          <cell r="S271">
            <v>46009</v>
          </cell>
          <cell r="T271">
            <v>46009</v>
          </cell>
          <cell r="V271" t="str">
            <v>보통인부</v>
          </cell>
        </row>
        <row r="272">
          <cell r="A272" t="str">
            <v>함영표</v>
          </cell>
          <cell r="B272" t="str">
            <v>강원 원주 송림길 12-9</v>
          </cell>
          <cell r="C272" t="str">
            <v>690516-1268712</v>
          </cell>
          <cell r="D272" t="str">
            <v>010-5754-4947</v>
          </cell>
          <cell r="E272">
            <v>150000</v>
          </cell>
          <cell r="F272" t="str">
            <v>남</v>
          </cell>
          <cell r="G272">
            <v>58</v>
          </cell>
          <cell r="H272" t="str">
            <v>-</v>
          </cell>
          <cell r="J272" t="str">
            <v>용역</v>
          </cell>
          <cell r="K272" t="str">
            <v>123인력</v>
          </cell>
          <cell r="O272">
            <v>41333</v>
          </cell>
          <cell r="R272">
            <v>46010</v>
          </cell>
          <cell r="S272">
            <v>46010</v>
          </cell>
          <cell r="T272">
            <v>46010</v>
          </cell>
          <cell r="V272" t="str">
            <v>보통인부</v>
          </cell>
        </row>
        <row r="273">
          <cell r="A273" t="str">
            <v>홍정제</v>
          </cell>
          <cell r="B273" t="str">
            <v>전남 목포 평화로43번길8-1</v>
          </cell>
          <cell r="C273" t="str">
            <v>920307-1303315</v>
          </cell>
          <cell r="D273" t="str">
            <v>010-2856-8084</v>
          </cell>
          <cell r="E273">
            <v>150000</v>
          </cell>
          <cell r="F273" t="str">
            <v>남</v>
          </cell>
          <cell r="G273">
            <v>35</v>
          </cell>
          <cell r="H273" t="str">
            <v>-</v>
          </cell>
          <cell r="J273" t="str">
            <v>용역</v>
          </cell>
          <cell r="K273" t="str">
            <v>123인력</v>
          </cell>
          <cell r="L273" t="str">
            <v>1010-2735-4600</v>
          </cell>
          <cell r="M273" t="str">
            <v>수협은행</v>
          </cell>
          <cell r="N273" t="str">
            <v>(주)우민이엔지</v>
          </cell>
          <cell r="O273">
            <v>43668</v>
          </cell>
          <cell r="R273">
            <v>46015</v>
          </cell>
          <cell r="S273">
            <v>46015</v>
          </cell>
          <cell r="T273">
            <v>46015</v>
          </cell>
          <cell r="V273" t="str">
            <v>보통인부</v>
          </cell>
        </row>
        <row r="274">
          <cell r="A274" t="str">
            <v>유건후</v>
          </cell>
          <cell r="B274" t="str">
            <v>충북 제천 용두대로7길25, 105-201</v>
          </cell>
          <cell r="C274" t="str">
            <v>911023-1489719</v>
          </cell>
          <cell r="D274" t="str">
            <v>010-3807-2775</v>
          </cell>
          <cell r="E274">
            <v>150000</v>
          </cell>
          <cell r="F274" t="str">
            <v>남</v>
          </cell>
          <cell r="G274">
            <v>36</v>
          </cell>
          <cell r="H274" t="str">
            <v>-</v>
          </cell>
          <cell r="J274" t="str">
            <v>용역</v>
          </cell>
          <cell r="K274" t="str">
            <v>123인력</v>
          </cell>
          <cell r="L274" t="str">
            <v>1010-2735-4600</v>
          </cell>
          <cell r="M274" t="str">
            <v>수협은행</v>
          </cell>
          <cell r="N274" t="str">
            <v>(주)우민이엔지</v>
          </cell>
          <cell r="O274">
            <v>41946</v>
          </cell>
          <cell r="R274">
            <v>46016</v>
          </cell>
          <cell r="S274">
            <v>46016</v>
          </cell>
          <cell r="T274">
            <v>46016</v>
          </cell>
          <cell r="V274" t="str">
            <v>보통인부</v>
          </cell>
        </row>
        <row r="275">
          <cell r="A275" t="str">
            <v>정주표</v>
          </cell>
          <cell r="B275" t="str">
            <v>강원 원주 큰숯둔길 11-2</v>
          </cell>
          <cell r="C275" t="str">
            <v>741125-1268912</v>
          </cell>
          <cell r="D275" t="str">
            <v>010-7241-2241</v>
          </cell>
          <cell r="E275">
            <v>150000</v>
          </cell>
          <cell r="F275" t="str">
            <v>남</v>
          </cell>
          <cell r="G275">
            <v>53</v>
          </cell>
          <cell r="H275" t="str">
            <v>-</v>
          </cell>
          <cell r="J275" t="str">
            <v>용역</v>
          </cell>
          <cell r="K275" t="str">
            <v>123인력</v>
          </cell>
          <cell r="L275" t="str">
            <v>1010-2735-4600</v>
          </cell>
          <cell r="M275" t="str">
            <v>수협은행</v>
          </cell>
          <cell r="N275" t="str">
            <v>(주)우민이엔지</v>
          </cell>
          <cell r="O275">
            <v>41926</v>
          </cell>
          <cell r="Q275" t="str">
            <v/>
          </cell>
          <cell r="R275">
            <v>46028</v>
          </cell>
          <cell r="S275">
            <v>46028</v>
          </cell>
          <cell r="T275">
            <v>46028</v>
          </cell>
          <cell r="V275" t="str">
            <v>보통인부</v>
          </cell>
        </row>
        <row r="276">
          <cell r="A276" t="str">
            <v>최병열</v>
          </cell>
          <cell r="B276" t="str">
            <v>강원 원주시 토지길 31-1</v>
          </cell>
          <cell r="C276" t="str">
            <v>810502-1267618</v>
          </cell>
          <cell r="D276" t="str">
            <v>010-9930-5335</v>
          </cell>
          <cell r="E276">
            <v>150000</v>
          </cell>
          <cell r="F276" t="str">
            <v>남</v>
          </cell>
          <cell r="G276">
            <v>46</v>
          </cell>
          <cell r="H276" t="str">
            <v>-</v>
          </cell>
          <cell r="J276" t="str">
            <v>용역</v>
          </cell>
          <cell r="K276" t="str">
            <v>123인력</v>
          </cell>
          <cell r="O276">
            <v>42153</v>
          </cell>
          <cell r="Q276" t="str">
            <v/>
          </cell>
          <cell r="R276">
            <v>46034</v>
          </cell>
          <cell r="S276">
            <v>46034</v>
          </cell>
          <cell r="T276">
            <v>46034</v>
          </cell>
          <cell r="V276" t="str">
            <v>보통인부</v>
          </cell>
        </row>
        <row r="277">
          <cell r="A277" t="str">
            <v>남궁인</v>
          </cell>
          <cell r="B277" t="str">
            <v>강원도 원주시 라옹정길 50-1</v>
          </cell>
          <cell r="C277" t="str">
            <v>940831-1148517</v>
          </cell>
          <cell r="D277" t="str">
            <v>010-6450-1630</v>
          </cell>
          <cell r="E277">
            <v>150000</v>
          </cell>
          <cell r="F277" t="str">
            <v>남</v>
          </cell>
          <cell r="G277">
            <v>33</v>
          </cell>
          <cell r="H277" t="str">
            <v>-</v>
          </cell>
          <cell r="J277" t="str">
            <v>용역</v>
          </cell>
          <cell r="K277" t="str">
            <v>123인력</v>
          </cell>
          <cell r="L277" t="str">
            <v>1010-2735-4600</v>
          </cell>
          <cell r="M277" t="str">
            <v>수협은행</v>
          </cell>
          <cell r="N277" t="str">
            <v>(주)우민이엔지</v>
          </cell>
          <cell r="O277">
            <v>42907</v>
          </cell>
          <cell r="R277">
            <v>46111</v>
          </cell>
          <cell r="S277">
            <v>46111</v>
          </cell>
          <cell r="T277">
            <v>46111</v>
          </cell>
          <cell r="V277" t="str">
            <v>보통인부</v>
          </cell>
        </row>
        <row r="278">
          <cell r="A278" t="str">
            <v>이상민</v>
          </cell>
          <cell r="B278" t="str">
            <v>원주시 단관길 104-6</v>
          </cell>
          <cell r="C278" t="str">
            <v>810116-1552413</v>
          </cell>
          <cell r="D278" t="str">
            <v>010-5871-8115</v>
          </cell>
          <cell r="E278">
            <v>150000</v>
          </cell>
          <cell r="F278" t="str">
            <v>남</v>
          </cell>
          <cell r="G278">
            <v>46</v>
          </cell>
          <cell r="H278" t="str">
            <v>-</v>
          </cell>
          <cell r="J278" t="str">
            <v>용역</v>
          </cell>
          <cell r="K278" t="str">
            <v>123인력</v>
          </cell>
          <cell r="L278" t="str">
            <v>1010-2735-4600</v>
          </cell>
          <cell r="M278" t="str">
            <v>수협은행</v>
          </cell>
          <cell r="N278" t="str">
            <v>(주)우민이엔지</v>
          </cell>
          <cell r="O278">
            <v>42606</v>
          </cell>
          <cell r="R278">
            <v>46111</v>
          </cell>
          <cell r="S278">
            <v>46111</v>
          </cell>
          <cell r="T278">
            <v>46157</v>
          </cell>
          <cell r="V278" t="str">
            <v>보통인부</v>
          </cell>
        </row>
        <row r="279">
          <cell r="A279" t="str">
            <v>이석훈</v>
          </cell>
          <cell r="B279" t="str">
            <v>원주시 시청로40 705-1201</v>
          </cell>
          <cell r="C279" t="str">
            <v>680915-1224231</v>
          </cell>
          <cell r="D279" t="str">
            <v>010-9038-8477</v>
          </cell>
          <cell r="E279">
            <v>150000</v>
          </cell>
          <cell r="F279" t="str">
            <v>남</v>
          </cell>
          <cell r="G279">
            <v>59</v>
          </cell>
          <cell r="H279" t="str">
            <v>-</v>
          </cell>
          <cell r="J279" t="str">
            <v>용역</v>
          </cell>
          <cell r="K279" t="str">
            <v>123인력</v>
          </cell>
          <cell r="L279" t="str">
            <v>1010-2735-4600</v>
          </cell>
          <cell r="M279" t="str">
            <v>수협은행</v>
          </cell>
          <cell r="N279" t="str">
            <v>(주)우민이엔지</v>
          </cell>
          <cell r="O279">
            <v>43180</v>
          </cell>
          <cell r="R279">
            <v>46111</v>
          </cell>
          <cell r="S279">
            <v>46111</v>
          </cell>
          <cell r="T279">
            <v>46111</v>
          </cell>
          <cell r="V279" t="str">
            <v>보통인부</v>
          </cell>
        </row>
        <row r="280">
          <cell r="A280" t="str">
            <v>조희철</v>
          </cell>
          <cell r="B280" t="str">
            <v>강원 원주시 단구동 517 168-15</v>
          </cell>
          <cell r="C280" t="str">
            <v>681023-1267711</v>
          </cell>
          <cell r="D280" t="str">
            <v>010-3837-9410</v>
          </cell>
          <cell r="E280">
            <v>150000</v>
          </cell>
          <cell r="F280" t="str">
            <v>남</v>
          </cell>
          <cell r="G280">
            <v>59</v>
          </cell>
          <cell r="H280" t="str">
            <v>-</v>
          </cell>
          <cell r="J280" t="str">
            <v>용역</v>
          </cell>
          <cell r="K280" t="str">
            <v>123인력</v>
          </cell>
          <cell r="L280" t="str">
            <v>1010-2735-4600</v>
          </cell>
          <cell r="M280" t="str">
            <v>수협은행</v>
          </cell>
          <cell r="N280" t="str">
            <v>(주)우민이엔지</v>
          </cell>
          <cell r="O280">
            <v>41623</v>
          </cell>
          <cell r="R280">
            <v>46130</v>
          </cell>
          <cell r="S280">
            <v>46130</v>
          </cell>
          <cell r="T280">
            <v>46130</v>
          </cell>
          <cell r="V280" t="str">
            <v>보통인부</v>
          </cell>
        </row>
        <row r="281">
          <cell r="A281" t="str">
            <v>강병길</v>
          </cell>
          <cell r="B281" t="str">
            <v>강원 원주 라옹정길 26-9 혈압●</v>
          </cell>
          <cell r="C281" t="str">
            <v>660208-1917316</v>
          </cell>
          <cell r="D281" t="str">
            <v>010-2895-2267</v>
          </cell>
          <cell r="E281">
            <v>150000</v>
          </cell>
          <cell r="F281" t="str">
            <v>남</v>
          </cell>
          <cell r="G281">
            <v>61</v>
          </cell>
          <cell r="H281" t="str">
            <v>-</v>
          </cell>
          <cell r="J281" t="str">
            <v>용역</v>
          </cell>
          <cell r="K281" t="str">
            <v>123인력</v>
          </cell>
          <cell r="L281" t="str">
            <v>1010-2735-4600</v>
          </cell>
          <cell r="M281" t="str">
            <v>수협은행</v>
          </cell>
          <cell r="N281" t="str">
            <v>(주)우민이엔지</v>
          </cell>
          <cell r="O281">
            <v>41345</v>
          </cell>
          <cell r="R281">
            <v>46157</v>
          </cell>
          <cell r="S281">
            <v>46157</v>
          </cell>
          <cell r="T281">
            <v>46157</v>
          </cell>
          <cell r="V281" t="str">
            <v>보통인부</v>
          </cell>
        </row>
        <row r="282">
          <cell r="A282" t="str">
            <v>박승식</v>
          </cell>
          <cell r="B282" t="str">
            <v>강원 원주 이화4길 87</v>
          </cell>
          <cell r="C282" t="str">
            <v>810424-1323421</v>
          </cell>
          <cell r="D282" t="str">
            <v>010-6384-3806</v>
          </cell>
          <cell r="E282">
            <v>150000</v>
          </cell>
          <cell r="F282" t="str">
            <v>남</v>
          </cell>
          <cell r="G282">
            <v>46</v>
          </cell>
          <cell r="H282" t="str">
            <v>-</v>
          </cell>
          <cell r="J282" t="str">
            <v>용역</v>
          </cell>
          <cell r="K282" t="str">
            <v>123인력</v>
          </cell>
          <cell r="L282" t="str">
            <v>1010-2735-4600</v>
          </cell>
          <cell r="M282" t="str">
            <v>수협은행</v>
          </cell>
          <cell r="N282" t="str">
            <v>(주)우민이엔지</v>
          </cell>
          <cell r="O282">
            <v>41295</v>
          </cell>
          <cell r="Q282" t="str">
            <v/>
          </cell>
          <cell r="R282">
            <v>46157</v>
          </cell>
          <cell r="S282">
            <v>46157</v>
          </cell>
          <cell r="T282">
            <v>46157</v>
          </cell>
          <cell r="V282" t="str">
            <v>보통인부</v>
          </cell>
        </row>
        <row r="283">
          <cell r="A283" t="str">
            <v>권영빈</v>
          </cell>
          <cell r="B283" t="str">
            <v>강원 원주 흥업면 남원로 52, 204-904 혈압●</v>
          </cell>
          <cell r="C283" t="str">
            <v>880712-1324216</v>
          </cell>
          <cell r="D283" t="str">
            <v>010-2455-0082</v>
          </cell>
          <cell r="E283">
            <v>150000</v>
          </cell>
          <cell r="F283" t="str">
            <v>남</v>
          </cell>
          <cell r="G283">
            <v>39</v>
          </cell>
          <cell r="H283" t="str">
            <v>-</v>
          </cell>
          <cell r="J283" t="str">
            <v>용역</v>
          </cell>
          <cell r="K283" t="str">
            <v>123인력</v>
          </cell>
          <cell r="L283" t="str">
            <v>1010-2735-4600</v>
          </cell>
          <cell r="M283" t="str">
            <v>수협은행</v>
          </cell>
          <cell r="N283" t="str">
            <v>(주)우민이엔지</v>
          </cell>
          <cell r="O283">
            <v>42975</v>
          </cell>
          <cell r="R283">
            <v>46157</v>
          </cell>
          <cell r="S283">
            <v>46157</v>
          </cell>
          <cell r="T283">
            <v>46157</v>
          </cell>
          <cell r="V283" t="str">
            <v>보통인부</v>
          </cell>
        </row>
        <row r="284">
          <cell r="A284" t="str">
            <v>최문영</v>
          </cell>
          <cell r="B284" t="str">
            <v>강원 원주 단구 대림@ 105-204 혈압●</v>
          </cell>
          <cell r="C284" t="str">
            <v>680719-1328123</v>
          </cell>
          <cell r="D284" t="str">
            <v>010-4007-2499</v>
          </cell>
          <cell r="E284">
            <v>150000</v>
          </cell>
          <cell r="F284" t="str">
            <v>남</v>
          </cell>
          <cell r="G284">
            <v>59</v>
          </cell>
          <cell r="H284" t="str">
            <v>-</v>
          </cell>
          <cell r="J284" t="str">
            <v>용역</v>
          </cell>
          <cell r="K284" t="str">
            <v>123인력</v>
          </cell>
          <cell r="L284" t="str">
            <v>1010-2735-4600</v>
          </cell>
          <cell r="M284" t="str">
            <v>수협은행</v>
          </cell>
          <cell r="N284" t="str">
            <v>(주)우민이엔지</v>
          </cell>
          <cell r="O284">
            <v>42198</v>
          </cell>
          <cell r="R284">
            <v>46157</v>
          </cell>
          <cell r="S284">
            <v>46157</v>
          </cell>
          <cell r="T284">
            <v>46157</v>
          </cell>
          <cell r="V284" t="str">
            <v>보통인부</v>
          </cell>
        </row>
        <row r="285">
          <cell r="A285" t="str">
            <v>경영호</v>
          </cell>
          <cell r="B285" t="str">
            <v>강원 원주 단구로 250, 105-1003 혈압●</v>
          </cell>
          <cell r="C285" t="str">
            <v>691019-1323619</v>
          </cell>
          <cell r="D285" t="str">
            <v>010-9515-2954</v>
          </cell>
          <cell r="E285">
            <v>150000</v>
          </cell>
          <cell r="F285" t="str">
            <v>남</v>
          </cell>
          <cell r="G285">
            <v>58</v>
          </cell>
          <cell r="H285" t="str">
            <v>-</v>
          </cell>
          <cell r="J285" t="str">
            <v>용역</v>
          </cell>
          <cell r="K285" t="str">
            <v>123인력</v>
          </cell>
          <cell r="L285" t="str">
            <v>1010-2735-4600</v>
          </cell>
          <cell r="M285" t="str">
            <v>수협은행</v>
          </cell>
          <cell r="N285" t="str">
            <v>(주)우민이엔지</v>
          </cell>
          <cell r="O285">
            <v>42886</v>
          </cell>
          <cell r="R285" t="str">
            <v>아침귀가</v>
          </cell>
          <cell r="S285">
            <v>46158</v>
          </cell>
          <cell r="T285">
            <v>46158</v>
          </cell>
          <cell r="V285" t="str">
            <v>보통인부</v>
          </cell>
        </row>
        <row r="286">
          <cell r="A286" t="str">
            <v>김진석</v>
          </cell>
          <cell r="B286" t="str">
            <v>강원 원주 치악로 1570번길 26-2 혈압●</v>
          </cell>
          <cell r="C286" t="str">
            <v>750805-1318411</v>
          </cell>
          <cell r="E286">
            <v>150000</v>
          </cell>
          <cell r="F286" t="str">
            <v>남</v>
          </cell>
          <cell r="G286">
            <v>52</v>
          </cell>
          <cell r="H286" t="str">
            <v>-</v>
          </cell>
          <cell r="J286" t="str">
            <v>용역</v>
          </cell>
          <cell r="K286" t="str">
            <v>123인력</v>
          </cell>
          <cell r="L286" t="str">
            <v>1010-2735-4600</v>
          </cell>
          <cell r="M286" t="str">
            <v>수협은행</v>
          </cell>
          <cell r="N286" t="str">
            <v>(주)우민이엔지</v>
          </cell>
          <cell r="O286">
            <v>40521</v>
          </cell>
          <cell r="R286" t="str">
            <v>아침귀가</v>
          </cell>
          <cell r="S286">
            <v>46158</v>
          </cell>
          <cell r="T286">
            <v>46158</v>
          </cell>
          <cell r="V286" t="str">
            <v>보통인부</v>
          </cell>
        </row>
        <row r="287">
          <cell r="A287" t="str">
            <v>강태근</v>
          </cell>
          <cell r="B287" t="str">
            <v>강원 원주 토지길73, 205호</v>
          </cell>
          <cell r="C287" t="str">
            <v>630827-1345423</v>
          </cell>
          <cell r="D287" t="str">
            <v>010-9625-2343</v>
          </cell>
          <cell r="E287">
            <v>150000</v>
          </cell>
          <cell r="F287" t="str">
            <v>남</v>
          </cell>
          <cell r="G287">
            <v>64</v>
          </cell>
          <cell r="H287" t="str">
            <v>-</v>
          </cell>
          <cell r="J287" t="str">
            <v>용역</v>
          </cell>
          <cell r="K287" t="str">
            <v>123인력</v>
          </cell>
          <cell r="L287" t="str">
            <v>1010-2735-4600</v>
          </cell>
          <cell r="M287" t="str">
            <v>수협은행</v>
          </cell>
          <cell r="N287" t="str">
            <v>(주)우민이엔지</v>
          </cell>
          <cell r="O287">
            <v>45825</v>
          </cell>
          <cell r="R287">
            <v>46160</v>
          </cell>
          <cell r="S287">
            <v>46160</v>
          </cell>
          <cell r="T287">
            <v>46160</v>
          </cell>
          <cell r="V287" t="str">
            <v>보통인부</v>
          </cell>
        </row>
        <row r="288">
          <cell r="A288" t="str">
            <v>원종섭</v>
          </cell>
          <cell r="B288" t="str">
            <v>강원 원주 현충로 234, 5동110호</v>
          </cell>
          <cell r="C288" t="str">
            <v>630816-1224810</v>
          </cell>
          <cell r="D288" t="str">
            <v>010-3815-6553</v>
          </cell>
          <cell r="E288">
            <v>150000</v>
          </cell>
          <cell r="F288" t="str">
            <v>남</v>
          </cell>
          <cell r="G288">
            <v>64</v>
          </cell>
          <cell r="H288" t="str">
            <v>-</v>
          </cell>
          <cell r="J288" t="str">
            <v>용역</v>
          </cell>
          <cell r="K288" t="str">
            <v>123인력</v>
          </cell>
          <cell r="L288" t="str">
            <v>1010-2735-4600</v>
          </cell>
          <cell r="M288" t="str">
            <v>수협은행</v>
          </cell>
          <cell r="N288" t="str">
            <v>(주)우민이엔지</v>
          </cell>
          <cell r="O288">
            <v>41991</v>
          </cell>
          <cell r="R288">
            <v>46160</v>
          </cell>
          <cell r="S288">
            <v>46160</v>
          </cell>
          <cell r="T288">
            <v>46160</v>
          </cell>
          <cell r="V288" t="str">
            <v>보통인부</v>
          </cell>
        </row>
        <row r="289">
          <cell r="A289" t="str">
            <v>서동진123</v>
          </cell>
          <cell r="B289" t="str">
            <v xml:space="preserve">강원 원주 무실91, 102-503 </v>
          </cell>
          <cell r="C289" t="str">
            <v>890228-1224712</v>
          </cell>
          <cell r="D289" t="str">
            <v>010-5524-1502</v>
          </cell>
          <cell r="E289">
            <v>150000</v>
          </cell>
          <cell r="F289" t="str">
            <v>남</v>
          </cell>
          <cell r="G289">
            <v>38</v>
          </cell>
          <cell r="H289" t="str">
            <v>-</v>
          </cell>
          <cell r="J289" t="str">
            <v>용역</v>
          </cell>
          <cell r="K289" t="str">
            <v>123인력</v>
          </cell>
          <cell r="L289" t="str">
            <v>1010-2735-4600</v>
          </cell>
          <cell r="M289" t="str">
            <v>수협은행</v>
          </cell>
          <cell r="N289" t="str">
            <v>(주)우민이엔지</v>
          </cell>
          <cell r="O289">
            <v>46065</v>
          </cell>
          <cell r="R289">
            <v>46111</v>
          </cell>
          <cell r="S289">
            <v>46111</v>
          </cell>
          <cell r="T289">
            <v>46111</v>
          </cell>
          <cell r="V289" t="str">
            <v>형틀목공</v>
          </cell>
        </row>
        <row r="290">
          <cell r="A290" t="str">
            <v>여승훈</v>
          </cell>
          <cell r="B290" t="str">
            <v>원주 단계동 926-1</v>
          </cell>
          <cell r="C290" t="str">
            <v>820710-1083115</v>
          </cell>
          <cell r="D290" t="str">
            <v>010-2156-0711</v>
          </cell>
          <cell r="E290">
            <v>150000</v>
          </cell>
          <cell r="F290" t="str">
            <v>남</v>
          </cell>
          <cell r="G290">
            <v>45</v>
          </cell>
          <cell r="H290" t="str">
            <v>-</v>
          </cell>
          <cell r="J290" t="str">
            <v>용역</v>
          </cell>
          <cell r="K290" t="str">
            <v>123인력</v>
          </cell>
          <cell r="L290" t="str">
            <v>1010-2735-4600</v>
          </cell>
          <cell r="M290" t="str">
            <v>수협은행</v>
          </cell>
          <cell r="N290" t="str">
            <v>(주)우민이엔지</v>
          </cell>
          <cell r="O290">
            <v>42033</v>
          </cell>
          <cell r="R290">
            <v>46175</v>
          </cell>
          <cell r="S290">
            <v>46175</v>
          </cell>
          <cell r="T290">
            <v>46175</v>
          </cell>
          <cell r="V290" t="str">
            <v>보통인부</v>
          </cell>
        </row>
        <row r="291">
          <cell r="A291" t="str">
            <v>정태균</v>
          </cell>
          <cell r="B291" t="str">
            <v>강원 원주시 단구로 243</v>
          </cell>
          <cell r="C291" t="str">
            <v>650320-1520218</v>
          </cell>
          <cell r="D291" t="str">
            <v>010-8120-0599</v>
          </cell>
          <cell r="E291">
            <v>150000</v>
          </cell>
          <cell r="F291" t="str">
            <v>남</v>
          </cell>
          <cell r="G291">
            <v>62</v>
          </cell>
          <cell r="H291" t="str">
            <v>-</v>
          </cell>
          <cell r="J291" t="str">
            <v>용역</v>
          </cell>
          <cell r="K291" t="str">
            <v>123인력</v>
          </cell>
          <cell r="L291" t="str">
            <v>1010-2735-4600</v>
          </cell>
          <cell r="M291" t="str">
            <v>수협은행</v>
          </cell>
          <cell r="N291" t="str">
            <v>(주)우민이엔지</v>
          </cell>
          <cell r="O291">
            <v>42720</v>
          </cell>
          <cell r="R291">
            <v>46175</v>
          </cell>
          <cell r="S291">
            <v>46175</v>
          </cell>
          <cell r="T291">
            <v>46175</v>
          </cell>
          <cell r="V291" t="str">
            <v>보통인부</v>
          </cell>
        </row>
        <row r="292">
          <cell r="A292" t="str">
            <v>김정훈</v>
          </cell>
          <cell r="B292" t="str">
            <v>강원 원주 문막읍 문막시장1길 82</v>
          </cell>
          <cell r="C292" t="str">
            <v>851227-1017220</v>
          </cell>
          <cell r="D292" t="str">
            <v>010-8231-0982</v>
          </cell>
          <cell r="E292">
            <v>150000</v>
          </cell>
          <cell r="F292" t="str">
            <v>남</v>
          </cell>
          <cell r="G292">
            <v>42</v>
          </cell>
          <cell r="H292" t="str">
            <v>-</v>
          </cell>
          <cell r="J292" t="str">
            <v>용역</v>
          </cell>
          <cell r="K292" t="str">
            <v>123인력</v>
          </cell>
          <cell r="L292" t="str">
            <v>1010-2735-4600</v>
          </cell>
          <cell r="M292" t="str">
            <v>수협은행</v>
          </cell>
          <cell r="N292" t="str">
            <v>(주)우민이엔지</v>
          </cell>
          <cell r="O292">
            <v>42087</v>
          </cell>
          <cell r="R292">
            <v>46182</v>
          </cell>
          <cell r="S292">
            <v>46182</v>
          </cell>
          <cell r="T292">
            <v>46182</v>
          </cell>
          <cell r="V292" t="str">
            <v>형틀목공</v>
          </cell>
        </row>
        <row r="293">
          <cell r="A293" t="str">
            <v>전동진</v>
          </cell>
          <cell r="B293" t="str">
            <v>강원 원주 늘품로 120-27, 1동 3-302호</v>
          </cell>
          <cell r="C293" t="str">
            <v>740205-1773016</v>
          </cell>
          <cell r="E293">
            <v>150000</v>
          </cell>
          <cell r="F293" t="str">
            <v>남</v>
          </cell>
          <cell r="G293">
            <v>53</v>
          </cell>
          <cell r="H293" t="str">
            <v>-</v>
          </cell>
          <cell r="J293" t="str">
            <v>용역</v>
          </cell>
          <cell r="K293" t="str">
            <v>123인력</v>
          </cell>
          <cell r="L293" t="str">
            <v>1010-2735-4600</v>
          </cell>
          <cell r="M293" t="str">
            <v>수협은행</v>
          </cell>
          <cell r="N293" t="str">
            <v>(주)우민이엔지</v>
          </cell>
          <cell r="O293">
            <v>42601</v>
          </cell>
          <cell r="R293">
            <v>46182</v>
          </cell>
          <cell r="S293">
            <v>46182</v>
          </cell>
          <cell r="T293">
            <v>46182</v>
          </cell>
          <cell r="V293" t="str">
            <v>형틀목공</v>
          </cell>
        </row>
        <row r="294">
          <cell r="A294" t="str">
            <v>김상도</v>
          </cell>
          <cell r="B294" t="str">
            <v>강원 원주 호저면 원문로 615-1</v>
          </cell>
          <cell r="C294" t="str">
            <v>740125-1267919</v>
          </cell>
          <cell r="D294" t="str">
            <v>010-5957-3345</v>
          </cell>
          <cell r="E294">
            <v>150000</v>
          </cell>
          <cell r="F294" t="str">
            <v>남</v>
          </cell>
          <cell r="G294">
            <v>53</v>
          </cell>
          <cell r="H294" t="str">
            <v>-</v>
          </cell>
          <cell r="J294" t="str">
            <v>용역</v>
          </cell>
          <cell r="K294" t="str">
            <v>123인력</v>
          </cell>
          <cell r="L294" t="str">
            <v>1010-2735-4600</v>
          </cell>
          <cell r="M294" t="str">
            <v>수협은행</v>
          </cell>
          <cell r="N294" t="str">
            <v>(주)우민이엔지</v>
          </cell>
          <cell r="O294">
            <v>42549</v>
          </cell>
          <cell r="R294">
            <v>46185</v>
          </cell>
          <cell r="S294">
            <v>46185</v>
          </cell>
          <cell r="T294">
            <v>46185</v>
          </cell>
          <cell r="V294" t="str">
            <v>보통인부</v>
          </cell>
        </row>
        <row r="295">
          <cell r="A295" t="str">
            <v>박상윤</v>
          </cell>
          <cell r="B295" t="str">
            <v>원주 단구동 토지길 205호</v>
          </cell>
          <cell r="C295" t="str">
            <v>841005-1343510</v>
          </cell>
          <cell r="D295" t="str">
            <v>010-3186-4513</v>
          </cell>
          <cell r="E295">
            <v>150000</v>
          </cell>
          <cell r="F295" t="str">
            <v>남</v>
          </cell>
          <cell r="G295">
            <v>43</v>
          </cell>
          <cell r="H295" t="str">
            <v>-</v>
          </cell>
          <cell r="J295" t="str">
            <v>용역</v>
          </cell>
          <cell r="K295" t="str">
            <v>123인력</v>
          </cell>
          <cell r="L295" t="str">
            <v>1010-2735-4600</v>
          </cell>
          <cell r="M295" t="str">
            <v>수협은행</v>
          </cell>
          <cell r="N295" t="str">
            <v>(주)우민이엔지</v>
          </cell>
          <cell r="O295">
            <v>42124</v>
          </cell>
          <cell r="R295">
            <v>46185</v>
          </cell>
          <cell r="S295">
            <v>46185</v>
          </cell>
          <cell r="T295">
            <v>46185</v>
          </cell>
          <cell r="V295" t="str">
            <v>보통인부</v>
          </cell>
        </row>
        <row r="296">
          <cell r="A296" t="str">
            <v>최용석</v>
          </cell>
          <cell r="B296" t="str">
            <v>강원 원주시 충평길60</v>
          </cell>
          <cell r="C296" t="str">
            <v>910726-1162628</v>
          </cell>
          <cell r="D296" t="str">
            <v>010-3949-5863</v>
          </cell>
          <cell r="E296">
            <v>150000</v>
          </cell>
          <cell r="F296" t="str">
            <v>남</v>
          </cell>
          <cell r="G296">
            <v>36</v>
          </cell>
          <cell r="H296" t="str">
            <v>-</v>
          </cell>
          <cell r="J296" t="str">
            <v>용역</v>
          </cell>
          <cell r="K296" t="str">
            <v>123인력</v>
          </cell>
          <cell r="L296" t="str">
            <v>1010-2735-4600</v>
          </cell>
          <cell r="M296" t="str">
            <v>수협은행</v>
          </cell>
          <cell r="N296" t="str">
            <v>(주)우민이엔지</v>
          </cell>
          <cell r="O296">
            <v>43746</v>
          </cell>
          <cell r="R296">
            <v>46232</v>
          </cell>
          <cell r="S296">
            <v>46232</v>
          </cell>
          <cell r="T296">
            <v>46232</v>
          </cell>
          <cell r="V296" t="str">
            <v>보통인부</v>
          </cell>
        </row>
        <row r="297">
          <cell r="F297" t="str">
            <v/>
          </cell>
          <cell r="G297" t="str">
            <v/>
          </cell>
          <cell r="H297" t="str">
            <v/>
          </cell>
          <cell r="Q297" t="str">
            <v/>
          </cell>
        </row>
        <row r="298">
          <cell r="F298" t="str">
            <v/>
          </cell>
          <cell r="G298" t="str">
            <v/>
          </cell>
          <cell r="H298" t="str">
            <v/>
          </cell>
          <cell r="Q298" t="str">
            <v/>
          </cell>
        </row>
        <row r="299">
          <cell r="F299" t="str">
            <v/>
          </cell>
          <cell r="G299" t="str">
            <v/>
          </cell>
          <cell r="H299" t="str">
            <v/>
          </cell>
          <cell r="Q299" t="str">
            <v/>
          </cell>
        </row>
        <row r="300">
          <cell r="F300" t="str">
            <v/>
          </cell>
          <cell r="G300" t="str">
            <v/>
          </cell>
          <cell r="H300" t="str">
            <v/>
          </cell>
          <cell r="Q300" t="str">
            <v/>
          </cell>
        </row>
        <row r="301">
          <cell r="F301" t="str">
            <v/>
          </cell>
          <cell r="G301" t="str">
            <v/>
          </cell>
          <cell r="H301" t="str">
            <v/>
          </cell>
          <cell r="Q301" t="str">
            <v/>
          </cell>
        </row>
        <row r="302">
          <cell r="A302" t="str">
            <v>쇼히자혼</v>
          </cell>
          <cell r="B302" t="str">
            <v>원주시 일산동 동두천로</v>
          </cell>
          <cell r="C302" t="str">
            <v>041106-5</v>
          </cell>
          <cell r="D302" t="str">
            <v>010-5929-1106</v>
          </cell>
          <cell r="E302">
            <v>150000</v>
          </cell>
          <cell r="F302" t="str">
            <v>남</v>
          </cell>
          <cell r="G302">
            <v>23</v>
          </cell>
          <cell r="H302" t="str">
            <v>외국인</v>
          </cell>
          <cell r="I302" t="str">
            <v>KHUSHVAKTOV SHOKHIJAKHON</v>
          </cell>
          <cell r="J302" t="str">
            <v>용역</v>
          </cell>
          <cell r="K302" t="str">
            <v>123인력</v>
          </cell>
          <cell r="L302" t="str">
            <v>1010-2735-4600</v>
          </cell>
          <cell r="M302" t="str">
            <v>수협은행</v>
          </cell>
          <cell r="N302" t="str">
            <v>(주)우민이엔지</v>
          </cell>
          <cell r="O302">
            <v>45115</v>
          </cell>
          <cell r="R302">
            <v>46016</v>
          </cell>
          <cell r="S302">
            <v>46016</v>
          </cell>
          <cell r="T302">
            <v>46016</v>
          </cell>
          <cell r="U302" t="str">
            <v>FA7859580</v>
          </cell>
          <cell r="V302" t="str">
            <v>보통인부</v>
          </cell>
          <cell r="W302" t="str">
            <v>우즈베키스탄</v>
          </cell>
        </row>
        <row r="303">
          <cell r="A303" t="str">
            <v>지여딜로</v>
          </cell>
          <cell r="C303" t="str">
            <v>050501-5</v>
          </cell>
          <cell r="D303" t="str">
            <v>010-9849-5444</v>
          </cell>
          <cell r="E303">
            <v>150000</v>
          </cell>
          <cell r="F303" t="str">
            <v>남</v>
          </cell>
          <cell r="G303">
            <v>22</v>
          </cell>
          <cell r="H303" t="str">
            <v>외국인</v>
          </cell>
          <cell r="I303" t="str">
            <v>KHALILOV ZIYODULLA</v>
          </cell>
          <cell r="J303" t="str">
            <v>용역</v>
          </cell>
          <cell r="K303" t="str">
            <v>123인력</v>
          </cell>
          <cell r="L303" t="str">
            <v>1010-2735-4600</v>
          </cell>
          <cell r="M303" t="str">
            <v>수협은행</v>
          </cell>
          <cell r="N303" t="str">
            <v>(주)우민이엔지</v>
          </cell>
          <cell r="O303">
            <v>45915</v>
          </cell>
          <cell r="R303">
            <v>46020</v>
          </cell>
          <cell r="S303">
            <v>46020</v>
          </cell>
          <cell r="T303">
            <v>46020</v>
          </cell>
          <cell r="U303" t="str">
            <v>FB1141841</v>
          </cell>
          <cell r="V303" t="str">
            <v>보통인부</v>
          </cell>
          <cell r="W303" t="str">
            <v>우즈베키스탄</v>
          </cell>
        </row>
        <row r="304">
          <cell r="A304" t="str">
            <v>샤브카틸로</v>
          </cell>
          <cell r="B304" t="str">
            <v>강원 원주시 판부면 오성마을길 47-4,203</v>
          </cell>
          <cell r="C304" t="str">
            <v>830619-5280039</v>
          </cell>
          <cell r="D304" t="str">
            <v>010-9653-9937</v>
          </cell>
          <cell r="E304">
            <v>150000</v>
          </cell>
          <cell r="F304" t="str">
            <v>남</v>
          </cell>
          <cell r="G304">
            <v>44</v>
          </cell>
          <cell r="H304" t="str">
            <v>외국인</v>
          </cell>
          <cell r="I304" t="str">
            <v>MIRKAMILOV SHAVKATILLO</v>
          </cell>
          <cell r="J304" t="str">
            <v>용역</v>
          </cell>
          <cell r="K304" t="str">
            <v>123인력</v>
          </cell>
          <cell r="O304">
            <v>44972</v>
          </cell>
          <cell r="P304" t="str">
            <v>기타G1</v>
          </cell>
          <cell r="Q304">
            <v>46240</v>
          </cell>
          <cell r="R304">
            <v>46027</v>
          </cell>
          <cell r="S304">
            <v>46027</v>
          </cell>
          <cell r="T304">
            <v>46027</v>
          </cell>
          <cell r="V304" t="str">
            <v>보통인부</v>
          </cell>
          <cell r="W304" t="str">
            <v>키르기스스탄</v>
          </cell>
        </row>
        <row r="305">
          <cell r="A305" t="str">
            <v>무러드</v>
          </cell>
          <cell r="B305" t="str">
            <v>원주시 원일로 172</v>
          </cell>
          <cell r="C305" t="str">
            <v>871003-5</v>
          </cell>
          <cell r="D305" t="str">
            <v>010-8059-6875</v>
          </cell>
          <cell r="E305">
            <v>140000</v>
          </cell>
          <cell r="F305" t="str">
            <v>남</v>
          </cell>
          <cell r="G305">
            <v>40</v>
          </cell>
          <cell r="H305" t="str">
            <v>외국인</v>
          </cell>
          <cell r="I305" t="str">
            <v>DAVLATOV DAVLATMUROD</v>
          </cell>
          <cell r="J305" t="str">
            <v>용역</v>
          </cell>
          <cell r="K305" t="str">
            <v>123인력</v>
          </cell>
          <cell r="L305" t="str">
            <v>1010-2735-4600</v>
          </cell>
          <cell r="M305" t="str">
            <v>수협은행</v>
          </cell>
          <cell r="N305" t="str">
            <v>(주)우민이엔지</v>
          </cell>
          <cell r="O305">
            <v>45268</v>
          </cell>
          <cell r="R305">
            <v>45980</v>
          </cell>
          <cell r="S305">
            <v>45980</v>
          </cell>
          <cell r="T305">
            <v>45980</v>
          </cell>
          <cell r="U305">
            <v>769026381</v>
          </cell>
          <cell r="V305" t="str">
            <v>보통인부</v>
          </cell>
          <cell r="W305" t="str">
            <v>러시아</v>
          </cell>
        </row>
        <row r="306">
          <cell r="F306" t="str">
            <v/>
          </cell>
          <cell r="G306" t="str">
            <v/>
          </cell>
          <cell r="H306" t="str">
            <v/>
          </cell>
          <cell r="Q306" t="str">
            <v/>
          </cell>
        </row>
        <row r="307">
          <cell r="F307" t="str">
            <v/>
          </cell>
          <cell r="G307" t="str">
            <v/>
          </cell>
          <cell r="H307" t="str">
            <v/>
          </cell>
          <cell r="Q307" t="str">
            <v/>
          </cell>
        </row>
        <row r="308">
          <cell r="F308" t="str">
            <v/>
          </cell>
          <cell r="G308" t="str">
            <v/>
          </cell>
          <cell r="H308" t="str">
            <v/>
          </cell>
          <cell r="Q308" t="str">
            <v/>
          </cell>
        </row>
        <row r="309">
          <cell r="F309" t="str">
            <v/>
          </cell>
          <cell r="G309" t="str">
            <v/>
          </cell>
          <cell r="H309" t="str">
            <v/>
          </cell>
          <cell r="Q309" t="str">
            <v/>
          </cell>
        </row>
        <row r="310">
          <cell r="F310" t="str">
            <v/>
          </cell>
          <cell r="G310" t="str">
            <v/>
          </cell>
          <cell r="H310" t="str">
            <v/>
          </cell>
          <cell r="Q310" t="str">
            <v/>
          </cell>
        </row>
        <row r="311">
          <cell r="F311" t="str">
            <v/>
          </cell>
          <cell r="G311" t="str">
            <v/>
          </cell>
          <cell r="H311" t="str">
            <v/>
          </cell>
          <cell r="Q311" t="str">
            <v/>
          </cell>
        </row>
        <row r="312">
          <cell r="F312" t="str">
            <v/>
          </cell>
          <cell r="G312" t="str">
            <v/>
          </cell>
          <cell r="H312" t="str">
            <v/>
          </cell>
          <cell r="Q312" t="str">
            <v/>
          </cell>
        </row>
        <row r="313">
          <cell r="F313" t="str">
            <v/>
          </cell>
          <cell r="G313" t="str">
            <v/>
          </cell>
          <cell r="H313" t="str">
            <v/>
          </cell>
          <cell r="Q313" t="str">
            <v/>
          </cell>
        </row>
        <row r="314">
          <cell r="F314" t="str">
            <v/>
          </cell>
          <cell r="G314" t="str">
            <v/>
          </cell>
          <cell r="H314" t="str">
            <v/>
          </cell>
          <cell r="Q314" t="str">
            <v/>
          </cell>
        </row>
        <row r="315">
          <cell r="A315" t="str">
            <v>형틀</v>
          </cell>
          <cell r="F315" t="str">
            <v/>
          </cell>
          <cell r="G315" t="str">
            <v/>
          </cell>
          <cell r="H315" t="str">
            <v/>
          </cell>
          <cell r="Q315" t="str">
            <v/>
          </cell>
        </row>
        <row r="316">
          <cell r="A316" t="str">
            <v>김홍식</v>
          </cell>
          <cell r="B316" t="str">
            <v>경기도 오산시 기흥구 강남서로119 104</v>
          </cell>
          <cell r="C316" t="str">
            <v>730802-5100013</v>
          </cell>
          <cell r="D316" t="str">
            <v>010-8263-9876</v>
          </cell>
          <cell r="E316">
            <v>230000</v>
          </cell>
          <cell r="F316" t="str">
            <v>남</v>
          </cell>
          <cell r="G316">
            <v>54</v>
          </cell>
          <cell r="H316" t="str">
            <v>외국인</v>
          </cell>
          <cell r="I316" t="str">
            <v>JIN HONGZHI</v>
          </cell>
          <cell r="J316" t="str">
            <v>형틀목공</v>
          </cell>
          <cell r="K316" t="str">
            <v>한봉만팀</v>
          </cell>
          <cell r="L316" t="str">
            <v>3559-105654-6007</v>
          </cell>
          <cell r="M316" t="str">
            <v>하나은행</v>
          </cell>
          <cell r="N316" t="str">
            <v>JINHONGZHI</v>
          </cell>
          <cell r="O316">
            <v>44477</v>
          </cell>
          <cell r="P316" t="str">
            <v>재외동포F4</v>
          </cell>
          <cell r="Q316">
            <v>46071</v>
          </cell>
          <cell r="S316">
            <v>45824</v>
          </cell>
          <cell r="T316">
            <v>45824</v>
          </cell>
          <cell r="U316" t="str">
            <v>EC6199717</v>
          </cell>
          <cell r="V316" t="str">
            <v>형틀목공</v>
          </cell>
          <cell r="W316" t="str">
            <v>중국</v>
          </cell>
        </row>
        <row r="317">
          <cell r="A317" t="str">
            <v>손상철</v>
          </cell>
          <cell r="B317" t="str">
            <v>충남 천안시 서북구 성환읍 송골1길17,404호</v>
          </cell>
          <cell r="C317" t="str">
            <v>691120-5102792</v>
          </cell>
          <cell r="D317" t="str">
            <v>010-2957-3663</v>
          </cell>
          <cell r="E317">
            <v>210000</v>
          </cell>
          <cell r="F317" t="str">
            <v>남</v>
          </cell>
          <cell r="G317">
            <v>58</v>
          </cell>
          <cell r="H317" t="str">
            <v>외국인</v>
          </cell>
          <cell r="I317" t="str">
            <v>SUN XIANGZHE</v>
          </cell>
          <cell r="J317" t="str">
            <v>형틀목공</v>
          </cell>
          <cell r="K317" t="str">
            <v>한봉만팀</v>
          </cell>
          <cell r="L317" t="str">
            <v>356-1092-0320-13</v>
          </cell>
          <cell r="M317" t="str">
            <v>농협은행</v>
          </cell>
          <cell r="N317" t="str">
            <v>SUNXIANGZHE</v>
          </cell>
          <cell r="O317">
            <v>42333</v>
          </cell>
          <cell r="P317" t="str">
            <v>영주F5</v>
          </cell>
          <cell r="Q317">
            <v>48872</v>
          </cell>
          <cell r="S317">
            <v>45824</v>
          </cell>
          <cell r="T317">
            <v>45824</v>
          </cell>
          <cell r="U317" t="str">
            <v>EL4921657</v>
          </cell>
          <cell r="V317" t="str">
            <v>형틀목공</v>
          </cell>
          <cell r="W317" t="str">
            <v>중국</v>
          </cell>
        </row>
        <row r="318">
          <cell r="A318" t="str">
            <v>김봉</v>
          </cell>
          <cell r="B318" t="str">
            <v>서울시 관안구 행운1라길6,402호</v>
          </cell>
          <cell r="C318" t="str">
            <v>900913-5100171</v>
          </cell>
          <cell r="D318" t="str">
            <v>010-2995-8913</v>
          </cell>
          <cell r="E318">
            <v>210000</v>
          </cell>
          <cell r="F318" t="str">
            <v>남</v>
          </cell>
          <cell r="G318">
            <v>37</v>
          </cell>
          <cell r="H318" t="str">
            <v>외국인</v>
          </cell>
          <cell r="I318" t="str">
            <v>JIN FENG</v>
          </cell>
          <cell r="J318" t="str">
            <v>형틀목공</v>
          </cell>
          <cell r="K318" t="str">
            <v>한봉만팀</v>
          </cell>
          <cell r="L318" t="str">
            <v>010-2995-8913</v>
          </cell>
          <cell r="M318" t="str">
            <v>기업은행</v>
          </cell>
          <cell r="N318" t="str">
            <v>JINFENG</v>
          </cell>
          <cell r="O318">
            <v>44313</v>
          </cell>
          <cell r="P318" t="str">
            <v>재외동포F4</v>
          </cell>
          <cell r="Q318">
            <v>46832</v>
          </cell>
          <cell r="S318">
            <v>45894</v>
          </cell>
          <cell r="T318">
            <v>45894</v>
          </cell>
          <cell r="U318" t="str">
            <v>EJ4165851</v>
          </cell>
          <cell r="V318" t="str">
            <v>형틀목공</v>
          </cell>
          <cell r="W318" t="str">
            <v>중국</v>
          </cell>
        </row>
        <row r="319">
          <cell r="A319" t="str">
            <v>이용섭</v>
          </cell>
          <cell r="B319" t="str">
            <v>서울시 강서구 초록마을로65,2동105호,화곡동</v>
          </cell>
          <cell r="C319" t="str">
            <v>720203-5142493</v>
          </cell>
          <cell r="D319" t="str">
            <v>010-7504-8810</v>
          </cell>
          <cell r="E319">
            <v>230000</v>
          </cell>
          <cell r="F319" t="str">
            <v>남</v>
          </cell>
          <cell r="G319">
            <v>55</v>
          </cell>
          <cell r="H319" t="str">
            <v>외국인</v>
          </cell>
          <cell r="I319" t="str">
            <v>LI LONGXIE</v>
          </cell>
          <cell r="J319" t="str">
            <v>형틀목공</v>
          </cell>
          <cell r="K319" t="str">
            <v>한봉만팀</v>
          </cell>
          <cell r="L319" t="str">
            <v>536801-04-041017</v>
          </cell>
          <cell r="M319" t="str">
            <v>국민은행</v>
          </cell>
          <cell r="N319" t="str">
            <v>LI LONGXIE</v>
          </cell>
          <cell r="O319">
            <v>45397</v>
          </cell>
          <cell r="P319" t="str">
            <v>재외동포F4</v>
          </cell>
          <cell r="Q319">
            <v>46702</v>
          </cell>
          <cell r="S319">
            <v>45852</v>
          </cell>
          <cell r="T319">
            <v>45852</v>
          </cell>
          <cell r="U319" t="str">
            <v>EJ0741322</v>
          </cell>
          <cell r="V319" t="str">
            <v>형틀목공</v>
          </cell>
          <cell r="W319" t="str">
            <v>중국</v>
          </cell>
        </row>
        <row r="320">
          <cell r="A320" t="str">
            <v>황용호</v>
          </cell>
          <cell r="B320" t="str">
            <v>천안시 서북구 스마일시티2로2,204-702</v>
          </cell>
          <cell r="C320" t="str">
            <v>670818-5860193</v>
          </cell>
          <cell r="D320" t="str">
            <v>010-9158-1538</v>
          </cell>
          <cell r="E320">
            <v>240000</v>
          </cell>
          <cell r="F320" t="str">
            <v>남</v>
          </cell>
          <cell r="G320">
            <v>60</v>
          </cell>
          <cell r="H320" t="str">
            <v>외국인</v>
          </cell>
          <cell r="I320" t="str">
            <v>HUANG LONGHU</v>
          </cell>
          <cell r="J320" t="str">
            <v>형틀목공</v>
          </cell>
          <cell r="K320" t="str">
            <v>한봉만팀</v>
          </cell>
          <cell r="L320" t="str">
            <v>351-047760-5583</v>
          </cell>
          <cell r="M320" t="str">
            <v>농협은행</v>
          </cell>
          <cell r="N320" t="str">
            <v>HUANGLONGHU</v>
          </cell>
          <cell r="O320">
            <v>41918</v>
          </cell>
          <cell r="P320" t="str">
            <v>영주F5</v>
          </cell>
          <cell r="Q320">
            <v>49022</v>
          </cell>
          <cell r="S320">
            <v>45892</v>
          </cell>
          <cell r="T320">
            <v>45892</v>
          </cell>
          <cell r="U320" t="str">
            <v>EH9337589</v>
          </cell>
          <cell r="V320" t="str">
            <v>형틀목공</v>
          </cell>
          <cell r="W320" t="str">
            <v>중국</v>
          </cell>
        </row>
        <row r="321">
          <cell r="A321" t="str">
            <v>최일</v>
          </cell>
          <cell r="B321" t="str">
            <v>경기도 오산시 성호대로127, 709</v>
          </cell>
          <cell r="C321" t="str">
            <v>710711-5200016</v>
          </cell>
          <cell r="D321" t="str">
            <v>010-8581-1771</v>
          </cell>
          <cell r="E321">
            <v>230000</v>
          </cell>
          <cell r="F321" t="str">
            <v>남</v>
          </cell>
          <cell r="G321">
            <v>56</v>
          </cell>
          <cell r="H321" t="str">
            <v>외국인</v>
          </cell>
          <cell r="I321" t="str">
            <v>CUI YI</v>
          </cell>
          <cell r="J321" t="str">
            <v>형틀목공</v>
          </cell>
          <cell r="K321" t="str">
            <v>한봉만팀</v>
          </cell>
          <cell r="L321" t="str">
            <v>1002-362-919034</v>
          </cell>
          <cell r="M321" t="str">
            <v>우리은행</v>
          </cell>
          <cell r="N321" t="str">
            <v>CUI YI</v>
          </cell>
          <cell r="O321">
            <v>44547</v>
          </cell>
          <cell r="P321" t="str">
            <v>재외동포F4</v>
          </cell>
          <cell r="Q321">
            <v>45622</v>
          </cell>
          <cell r="S321">
            <v>45894</v>
          </cell>
          <cell r="T321">
            <v>45894</v>
          </cell>
          <cell r="U321" t="str">
            <v>EB6280445</v>
          </cell>
          <cell r="V321" t="str">
            <v>형틀목공</v>
          </cell>
          <cell r="W321" t="str">
            <v>중국</v>
          </cell>
        </row>
        <row r="322">
          <cell r="A322" t="str">
            <v>최일우</v>
          </cell>
          <cell r="B322" t="str">
            <v>서울특별시 관악구 은천로28가길35</v>
          </cell>
          <cell r="C322" t="str">
            <v>740404-5200023</v>
          </cell>
          <cell r="D322" t="str">
            <v>010-5823-7758</v>
          </cell>
          <cell r="E322">
            <v>220000</v>
          </cell>
          <cell r="F322" t="str">
            <v>남</v>
          </cell>
          <cell r="G322">
            <v>53</v>
          </cell>
          <cell r="H322" t="str">
            <v>외국인</v>
          </cell>
          <cell r="I322" t="str">
            <v>CUI YIYU</v>
          </cell>
          <cell r="J322" t="str">
            <v>형틀목공</v>
          </cell>
          <cell r="K322" t="str">
            <v>한봉만팀</v>
          </cell>
          <cell r="L322" t="str">
            <v>1002-962-887807</v>
          </cell>
          <cell r="M322" t="str">
            <v>우리은행</v>
          </cell>
          <cell r="N322" t="str">
            <v>CUI YIYU</v>
          </cell>
          <cell r="O322">
            <v>44539</v>
          </cell>
          <cell r="P322" t="str">
            <v>재외동포F4</v>
          </cell>
          <cell r="Q322">
            <v>46717</v>
          </cell>
          <cell r="S322">
            <v>45894</v>
          </cell>
          <cell r="T322">
            <v>45894</v>
          </cell>
          <cell r="U322" t="str">
            <v>EC9251068</v>
          </cell>
          <cell r="V322" t="str">
            <v>형틀목공</v>
          </cell>
          <cell r="W322" t="str">
            <v>중국</v>
          </cell>
        </row>
        <row r="323">
          <cell r="A323" t="str">
            <v>김광일</v>
          </cell>
          <cell r="B323" t="str">
            <v>경기도 오산시 경기대로321</v>
          </cell>
          <cell r="C323" t="str">
            <v>821013-5780012</v>
          </cell>
          <cell r="D323" t="str">
            <v>010-5845-3188</v>
          </cell>
          <cell r="E323">
            <v>240000</v>
          </cell>
          <cell r="F323" t="str">
            <v>남</v>
          </cell>
          <cell r="G323">
            <v>45</v>
          </cell>
          <cell r="H323" t="str">
            <v>외국인</v>
          </cell>
          <cell r="I323" t="str">
            <v>JIN GUANGRI</v>
          </cell>
          <cell r="J323" t="str">
            <v>형틀목공</v>
          </cell>
          <cell r="K323" t="str">
            <v>한봉만팀</v>
          </cell>
          <cell r="L323" t="str">
            <v>4172-020129-4343</v>
          </cell>
          <cell r="M323" t="str">
            <v>국민은행</v>
          </cell>
          <cell r="N323" t="str">
            <v>JINGUANGRI</v>
          </cell>
          <cell r="O323">
            <v>44830</v>
          </cell>
          <cell r="P323" t="str">
            <v>거주F2</v>
          </cell>
          <cell r="Q323">
            <v>46559</v>
          </cell>
          <cell r="S323">
            <v>45904</v>
          </cell>
          <cell r="T323">
            <v>45904</v>
          </cell>
          <cell r="U323" t="str">
            <v>EJ5202868</v>
          </cell>
          <cell r="V323" t="str">
            <v>형틀목공</v>
          </cell>
          <cell r="W323" t="str">
            <v>중국</v>
          </cell>
        </row>
        <row r="324">
          <cell r="A324" t="str">
            <v>한상길</v>
          </cell>
          <cell r="B324" t="str">
            <v>시흥시 정왕천오432번길3-6,301</v>
          </cell>
          <cell r="C324" t="str">
            <v>880222-5820034</v>
          </cell>
          <cell r="D324" t="str">
            <v>010-5862-5225</v>
          </cell>
          <cell r="E324">
            <v>230000</v>
          </cell>
          <cell r="F324" t="str">
            <v>남</v>
          </cell>
          <cell r="G324">
            <v>39</v>
          </cell>
          <cell r="H324" t="str">
            <v>외국인</v>
          </cell>
          <cell r="I324" t="str">
            <v>HAN SHANGJI</v>
          </cell>
          <cell r="J324" t="str">
            <v>형틀목공</v>
          </cell>
          <cell r="K324" t="str">
            <v>한봉만팀</v>
          </cell>
          <cell r="L324" t="str">
            <v>352-1931-0797-03</v>
          </cell>
          <cell r="M324" t="str">
            <v>농협은행</v>
          </cell>
          <cell r="N324" t="str">
            <v>HAN SHANGJI</v>
          </cell>
          <cell r="O324">
            <v>45405</v>
          </cell>
          <cell r="P324" t="str">
            <v>방문취업H2</v>
          </cell>
          <cell r="Q324">
            <v>46456</v>
          </cell>
          <cell r="S324">
            <v>45904</v>
          </cell>
          <cell r="T324">
            <v>45904</v>
          </cell>
          <cell r="U324" t="str">
            <v>EB4063545</v>
          </cell>
          <cell r="V324" t="str">
            <v>형틀목공</v>
          </cell>
          <cell r="W324" t="str">
            <v>중국</v>
          </cell>
        </row>
        <row r="325">
          <cell r="A325" t="str">
            <v>장명수</v>
          </cell>
          <cell r="B325" t="str">
            <v>서울시 구로구 도림로8길22,101호</v>
          </cell>
          <cell r="C325" t="str">
            <v>661006-5101597</v>
          </cell>
          <cell r="D325" t="str">
            <v>010-3613-6083</v>
          </cell>
          <cell r="E325">
            <v>240000</v>
          </cell>
          <cell r="F325" t="str">
            <v>남</v>
          </cell>
          <cell r="G325">
            <v>61</v>
          </cell>
          <cell r="H325" t="str">
            <v>외국인</v>
          </cell>
          <cell r="I325" t="str">
            <v>ZHANG MINGZHU</v>
          </cell>
          <cell r="J325" t="str">
            <v>형틀목공</v>
          </cell>
          <cell r="K325" t="str">
            <v>한봉만팀</v>
          </cell>
          <cell r="L325" t="str">
            <v>162-122-30301</v>
          </cell>
          <cell r="M325" t="str">
            <v>농협은행</v>
          </cell>
          <cell r="N325" t="str">
            <v>장명수</v>
          </cell>
          <cell r="O325">
            <v>41039</v>
          </cell>
          <cell r="P325" t="str">
            <v>영주F5</v>
          </cell>
          <cell r="Q325">
            <v>49169</v>
          </cell>
          <cell r="S325">
            <v>45904</v>
          </cell>
          <cell r="T325">
            <v>45904</v>
          </cell>
          <cell r="U325" t="str">
            <v>EC6199277</v>
          </cell>
          <cell r="V325" t="str">
            <v>형틀목공</v>
          </cell>
          <cell r="W325" t="str">
            <v>중국</v>
          </cell>
        </row>
        <row r="326">
          <cell r="A326" t="str">
            <v>한남빈</v>
          </cell>
          <cell r="B326" t="str">
            <v>경기도 용인시 기흥구 신구로53번길5,206호</v>
          </cell>
          <cell r="C326" t="str">
            <v>720328-5102194</v>
          </cell>
          <cell r="D326" t="str">
            <v>010-5629-6855</v>
          </cell>
          <cell r="E326">
            <v>230000</v>
          </cell>
          <cell r="F326" t="str">
            <v>남</v>
          </cell>
          <cell r="G326">
            <v>55</v>
          </cell>
          <cell r="H326" t="str">
            <v>외국인</v>
          </cell>
          <cell r="I326" t="str">
            <v>HAN NANBIN</v>
          </cell>
          <cell r="J326" t="str">
            <v>형틀목공</v>
          </cell>
          <cell r="K326" t="str">
            <v>한봉만팀</v>
          </cell>
          <cell r="L326" t="str">
            <v>345-910299-49507</v>
          </cell>
          <cell r="M326" t="str">
            <v>하나은행</v>
          </cell>
          <cell r="N326" t="str">
            <v>HANNANBIN</v>
          </cell>
          <cell r="O326">
            <v>41039</v>
          </cell>
          <cell r="P326" t="str">
            <v>영주F5</v>
          </cell>
          <cell r="Q326">
            <v>49119</v>
          </cell>
          <cell r="S326">
            <v>45904</v>
          </cell>
          <cell r="T326">
            <v>45904</v>
          </cell>
          <cell r="U326" t="str">
            <v>EE3493497</v>
          </cell>
          <cell r="V326" t="str">
            <v>형틀목공</v>
          </cell>
          <cell r="W326" t="str">
            <v>중국</v>
          </cell>
        </row>
        <row r="327">
          <cell r="A327" t="str">
            <v>한봉만</v>
          </cell>
          <cell r="B327" t="str">
            <v>서울시 관악구 문성로100,102-302</v>
          </cell>
          <cell r="C327" t="str">
            <v>621126-5101293</v>
          </cell>
          <cell r="D327" t="str">
            <v>010-4017-1158</v>
          </cell>
          <cell r="E327">
            <v>260000</v>
          </cell>
          <cell r="F327" t="str">
            <v>남</v>
          </cell>
          <cell r="G327">
            <v>65</v>
          </cell>
          <cell r="H327" t="str">
            <v>외국인</v>
          </cell>
          <cell r="I327" t="str">
            <v>HAN FENGWAN</v>
          </cell>
          <cell r="J327" t="str">
            <v>형틀목공</v>
          </cell>
          <cell r="K327" t="str">
            <v>한봉만팀</v>
          </cell>
          <cell r="L327" t="str">
            <v>404602-0135-9136</v>
          </cell>
          <cell r="M327" t="str">
            <v>국민은행</v>
          </cell>
          <cell r="N327" t="str">
            <v>HAN FENGWAN</v>
          </cell>
          <cell r="O327">
            <v>43628</v>
          </cell>
          <cell r="P327" t="str">
            <v>결혼이민F6</v>
          </cell>
          <cell r="Q327">
            <v>46807</v>
          </cell>
          <cell r="S327">
            <v>45908</v>
          </cell>
          <cell r="T327">
            <v>45908</v>
          </cell>
          <cell r="U327" t="str">
            <v>EJ6450875</v>
          </cell>
          <cell r="V327" t="str">
            <v>형틀목공</v>
          </cell>
          <cell r="W327" t="str">
            <v>중국</v>
          </cell>
        </row>
        <row r="328">
          <cell r="A328" t="str">
            <v>이성팔</v>
          </cell>
          <cell r="B328" t="str">
            <v>서울시 금천구 문성로5길14-5,102호</v>
          </cell>
          <cell r="C328" t="str">
            <v>571211-5100479</v>
          </cell>
          <cell r="D328" t="str">
            <v>010-7675-6889</v>
          </cell>
          <cell r="E328">
            <v>220000</v>
          </cell>
          <cell r="F328" t="str">
            <v>남</v>
          </cell>
          <cell r="G328">
            <v>70</v>
          </cell>
          <cell r="H328" t="str">
            <v>외국인</v>
          </cell>
          <cell r="I328" t="str">
            <v>LI CHENGBA</v>
          </cell>
          <cell r="J328" t="str">
            <v>형틀목공</v>
          </cell>
          <cell r="K328" t="str">
            <v>한봉만팀</v>
          </cell>
          <cell r="L328" t="str">
            <v>351-0080-2977-13</v>
          </cell>
          <cell r="M328" t="str">
            <v>농협은행</v>
          </cell>
          <cell r="N328" t="str">
            <v>LI CHENGBA</v>
          </cell>
          <cell r="O328">
            <v>41394</v>
          </cell>
          <cell r="P328" t="str">
            <v>재외동포F4</v>
          </cell>
          <cell r="Q328">
            <v>46673</v>
          </cell>
          <cell r="S328">
            <v>45908</v>
          </cell>
          <cell r="T328">
            <v>45908</v>
          </cell>
          <cell r="U328" t="str">
            <v>EJ6143754</v>
          </cell>
          <cell r="V328" t="str">
            <v>형틀목공</v>
          </cell>
          <cell r="W328" t="str">
            <v>중국</v>
          </cell>
        </row>
        <row r="329">
          <cell r="A329" t="str">
            <v>박증남</v>
          </cell>
          <cell r="B329" t="str">
            <v>용신시 기흥구 신구로105호</v>
          </cell>
          <cell r="C329" t="str">
            <v>680724-5102892</v>
          </cell>
          <cell r="D329" t="str">
            <v>010-5779-9993</v>
          </cell>
          <cell r="E329">
            <v>220000</v>
          </cell>
          <cell r="F329" t="str">
            <v>남</v>
          </cell>
          <cell r="G329">
            <v>59</v>
          </cell>
          <cell r="H329" t="str">
            <v>외국인</v>
          </cell>
          <cell r="I329" t="str">
            <v>PIAO ZENGNAN</v>
          </cell>
          <cell r="J329" t="str">
            <v>형틀목공</v>
          </cell>
          <cell r="K329" t="str">
            <v>한봉만팀</v>
          </cell>
          <cell r="L329" t="str">
            <v>194601-04-082412</v>
          </cell>
          <cell r="M329" t="str">
            <v>국민은행</v>
          </cell>
          <cell r="N329" t="str">
            <v>PIAOZENGNAN</v>
          </cell>
          <cell r="O329">
            <v>42947</v>
          </cell>
          <cell r="P329" t="str">
            <v>영주F5</v>
          </cell>
          <cell r="Q329">
            <v>48737</v>
          </cell>
          <cell r="S329">
            <v>45908</v>
          </cell>
          <cell r="T329">
            <v>45908</v>
          </cell>
          <cell r="U329" t="str">
            <v>EJ0731303</v>
          </cell>
          <cell r="V329" t="str">
            <v>형틀목공</v>
          </cell>
          <cell r="W329" t="str">
            <v>중국</v>
          </cell>
        </row>
        <row r="330">
          <cell r="A330" t="str">
            <v>고용호</v>
          </cell>
          <cell r="B330" t="str">
            <v>서울시 금천구 시흥대로128길27-2,204</v>
          </cell>
          <cell r="C330" t="str">
            <v>651103-5140696</v>
          </cell>
          <cell r="D330" t="str">
            <v>010-9683-6008</v>
          </cell>
          <cell r="E330">
            <v>220000</v>
          </cell>
          <cell r="F330" t="str">
            <v>남</v>
          </cell>
          <cell r="G330">
            <v>62</v>
          </cell>
          <cell r="H330" t="str">
            <v>외국인</v>
          </cell>
          <cell r="I330" t="str">
            <v>GAO YONGHU</v>
          </cell>
          <cell r="J330" t="str">
            <v>형틀목공</v>
          </cell>
          <cell r="K330" t="str">
            <v>한봉만팀</v>
          </cell>
          <cell r="L330" t="str">
            <v>356-0401-2108-63</v>
          </cell>
          <cell r="M330" t="str">
            <v>농협은행</v>
          </cell>
          <cell r="N330" t="str">
            <v>GAO YONGHU</v>
          </cell>
          <cell r="O330">
            <v>41514</v>
          </cell>
          <cell r="P330" t="str">
            <v>재외동포F4</v>
          </cell>
          <cell r="Q330">
            <v>46028</v>
          </cell>
          <cell r="R330">
            <v>45915</v>
          </cell>
          <cell r="S330">
            <v>45915</v>
          </cell>
          <cell r="T330">
            <v>45915</v>
          </cell>
          <cell r="U330" t="str">
            <v>EH9319353</v>
          </cell>
          <cell r="V330" t="str">
            <v>형틀목공</v>
          </cell>
          <cell r="W330" t="str">
            <v>중국</v>
          </cell>
        </row>
        <row r="331">
          <cell r="A331" t="str">
            <v>김용남</v>
          </cell>
          <cell r="B331" t="str">
            <v>서울시 구로구 구로동로21가길14,201호</v>
          </cell>
          <cell r="C331" t="str">
            <v>720710-5102492</v>
          </cell>
          <cell r="D331" t="str">
            <v>010-8072-5553</v>
          </cell>
          <cell r="E331">
            <v>210000</v>
          </cell>
          <cell r="F331" t="str">
            <v>남</v>
          </cell>
          <cell r="G331">
            <v>55</v>
          </cell>
          <cell r="H331" t="str">
            <v>외국인</v>
          </cell>
          <cell r="I331" t="str">
            <v>JIN RONGNAN</v>
          </cell>
          <cell r="J331" t="str">
            <v>형틀목공</v>
          </cell>
          <cell r="K331" t="str">
            <v>한봉만팀</v>
          </cell>
          <cell r="L331" t="str">
            <v>9002-1885-8747-3</v>
          </cell>
          <cell r="M331" t="str">
            <v>새마을금고중앙회</v>
          </cell>
          <cell r="N331" t="str">
            <v>JIN RONGNAN</v>
          </cell>
          <cell r="O331">
            <v>41589</v>
          </cell>
          <cell r="P331" t="str">
            <v>재외동포F4</v>
          </cell>
          <cell r="Q331">
            <v>46818</v>
          </cell>
          <cell r="S331">
            <v>45920</v>
          </cell>
          <cell r="T331">
            <v>45920</v>
          </cell>
          <cell r="V331" t="str">
            <v>형틀목공</v>
          </cell>
          <cell r="W331" t="str">
            <v>중국</v>
          </cell>
        </row>
        <row r="332">
          <cell r="A332" t="str">
            <v>최용운</v>
          </cell>
          <cell r="B332" t="str">
            <v>서울시 구로구 구로동로7나길13-5,103호</v>
          </cell>
          <cell r="C332" t="str">
            <v>611023-5140893</v>
          </cell>
          <cell r="D332" t="str">
            <v>010-5708-0888</v>
          </cell>
          <cell r="E332">
            <v>220000</v>
          </cell>
          <cell r="F332" t="str">
            <v>남</v>
          </cell>
          <cell r="G332">
            <v>66</v>
          </cell>
          <cell r="H332" t="str">
            <v>외국인</v>
          </cell>
          <cell r="I332" t="str">
            <v>CUI LONGYUN</v>
          </cell>
          <cell r="J332" t="str">
            <v>형틀목공</v>
          </cell>
          <cell r="K332" t="str">
            <v>한봉만팀</v>
          </cell>
          <cell r="L332" t="str">
            <v>352-1188-5985-03</v>
          </cell>
          <cell r="M332" t="str">
            <v>농협은행</v>
          </cell>
          <cell r="N332" t="str">
            <v>CUI LONGYUN</v>
          </cell>
          <cell r="O332">
            <v>42639</v>
          </cell>
          <cell r="P332" t="str">
            <v>재외동포F4</v>
          </cell>
          <cell r="Q332">
            <v>46702</v>
          </cell>
          <cell r="S332">
            <v>45920</v>
          </cell>
          <cell r="T332">
            <v>45920</v>
          </cell>
          <cell r="V332" t="str">
            <v>형틀목공</v>
          </cell>
          <cell r="W332" t="str">
            <v>중국</v>
          </cell>
        </row>
        <row r="333">
          <cell r="A333" t="str">
            <v>한태일</v>
          </cell>
          <cell r="B333" t="str">
            <v>서울시 구로구 구로동로5길13-36</v>
          </cell>
          <cell r="C333" t="str">
            <v>701031-5920015</v>
          </cell>
          <cell r="D333" t="str">
            <v>010-9581-0763</v>
          </cell>
          <cell r="E333">
            <v>220000</v>
          </cell>
          <cell r="F333" t="str">
            <v>남</v>
          </cell>
          <cell r="G333">
            <v>57</v>
          </cell>
          <cell r="H333" t="str">
            <v>외국인</v>
          </cell>
          <cell r="I333" t="str">
            <v>HAN TAIRI</v>
          </cell>
          <cell r="J333" t="str">
            <v>형틀목공</v>
          </cell>
          <cell r="K333" t="str">
            <v>한봉만팀</v>
          </cell>
          <cell r="L333" t="str">
            <v>110-0027-19186</v>
          </cell>
          <cell r="M333" t="str">
            <v>우체국</v>
          </cell>
          <cell r="N333" t="str">
            <v>한태일</v>
          </cell>
          <cell r="O333">
            <v>41702</v>
          </cell>
          <cell r="P333" t="str">
            <v>재외동포F4</v>
          </cell>
          <cell r="Q333">
            <v>46327</v>
          </cell>
          <cell r="S333">
            <v>45920</v>
          </cell>
          <cell r="T333">
            <v>45920</v>
          </cell>
          <cell r="V333" t="str">
            <v>형틀목공</v>
          </cell>
          <cell r="W333" t="str">
            <v>중국</v>
          </cell>
        </row>
        <row r="334">
          <cell r="A334" t="str">
            <v>김태산</v>
          </cell>
          <cell r="B334" t="str">
            <v>서울 관악구 관천로23길15-2,101호</v>
          </cell>
          <cell r="C334" t="str">
            <v>680718-5103098</v>
          </cell>
          <cell r="D334" t="str">
            <v>010-5007-0510</v>
          </cell>
          <cell r="E334">
            <v>220000</v>
          </cell>
          <cell r="F334" t="str">
            <v>남</v>
          </cell>
          <cell r="G334">
            <v>59</v>
          </cell>
          <cell r="H334" t="str">
            <v>외국인</v>
          </cell>
          <cell r="I334" t="str">
            <v>JIN TAISHAN</v>
          </cell>
          <cell r="J334" t="str">
            <v>형틀목공</v>
          </cell>
          <cell r="K334" t="str">
            <v>한봉만팀</v>
          </cell>
          <cell r="L334" t="str">
            <v>1010-2735-4600</v>
          </cell>
          <cell r="M334" t="str">
            <v>수협은행</v>
          </cell>
          <cell r="N334" t="str">
            <v>(주)우민이엔지</v>
          </cell>
          <cell r="O334">
            <v>42229</v>
          </cell>
          <cell r="P334" t="str">
            <v>재외동포F4</v>
          </cell>
          <cell r="Q334">
            <v>46498</v>
          </cell>
          <cell r="S334">
            <v>45908</v>
          </cell>
          <cell r="T334">
            <v>45908</v>
          </cell>
          <cell r="U334" t="str">
            <v>ED1023320</v>
          </cell>
          <cell r="V334" t="str">
            <v>형틀목공</v>
          </cell>
          <cell r="W334" t="str">
            <v>중국</v>
          </cell>
        </row>
        <row r="335">
          <cell r="A335" t="str">
            <v>김해화</v>
          </cell>
          <cell r="B335" t="str">
            <v>경기도 오산시 경기대로321,골든시티603호,오산동</v>
          </cell>
          <cell r="C335" t="str">
            <v>820119-6300492</v>
          </cell>
          <cell r="D335" t="str">
            <v>010-5845-3185</v>
          </cell>
          <cell r="E335">
            <v>220000</v>
          </cell>
          <cell r="F335" t="str">
            <v>여</v>
          </cell>
          <cell r="G335">
            <v>45</v>
          </cell>
          <cell r="H335" t="str">
            <v>외국인</v>
          </cell>
          <cell r="I335" t="str">
            <v>JIN HAIHUA</v>
          </cell>
          <cell r="J335" t="str">
            <v>형틀목공</v>
          </cell>
          <cell r="K335" t="str">
            <v>한봉만팀</v>
          </cell>
          <cell r="L335" t="str">
            <v>473-910357-17307</v>
          </cell>
          <cell r="M335" t="str">
            <v>하나은행</v>
          </cell>
          <cell r="N335" t="str">
            <v>JIN HAIHUA</v>
          </cell>
          <cell r="O335" t="str">
            <v>▣</v>
          </cell>
          <cell r="P335" t="str">
            <v>영주F5</v>
          </cell>
          <cell r="Q335">
            <v>47279</v>
          </cell>
          <cell r="S335">
            <v>45931</v>
          </cell>
          <cell r="T335">
            <v>45931</v>
          </cell>
          <cell r="V335" t="str">
            <v>형틀목공</v>
          </cell>
          <cell r="W335" t="str">
            <v>중국</v>
          </cell>
        </row>
        <row r="336">
          <cell r="A336" t="str">
            <v>김중호형</v>
          </cell>
          <cell r="B336" t="str">
            <v>서울시 종로구 종로65길36-14</v>
          </cell>
          <cell r="C336" t="str">
            <v>640930-5101394</v>
          </cell>
          <cell r="D336" t="str">
            <v>010-5738-8516</v>
          </cell>
          <cell r="E336">
            <v>220000</v>
          </cell>
          <cell r="F336" t="str">
            <v>남</v>
          </cell>
          <cell r="G336">
            <v>63</v>
          </cell>
          <cell r="H336" t="str">
            <v>외국인</v>
          </cell>
          <cell r="I336" t="str">
            <v>JIN ZHONGHU</v>
          </cell>
          <cell r="J336" t="str">
            <v>형틀목공</v>
          </cell>
          <cell r="K336" t="str">
            <v>한봉만팀</v>
          </cell>
          <cell r="L336" t="str">
            <v>1010-2735-4600</v>
          </cell>
          <cell r="M336" t="str">
            <v>수협은행</v>
          </cell>
          <cell r="N336" t="str">
            <v>(주)우민이엔지</v>
          </cell>
          <cell r="O336">
            <v>45033</v>
          </cell>
          <cell r="P336" t="str">
            <v>재외동포F4</v>
          </cell>
          <cell r="Q336">
            <v>46276</v>
          </cell>
          <cell r="S336">
            <v>45920</v>
          </cell>
          <cell r="T336">
            <v>45920</v>
          </cell>
          <cell r="V336" t="str">
            <v>형틀목공</v>
          </cell>
          <cell r="W336" t="str">
            <v>중국</v>
          </cell>
        </row>
        <row r="337">
          <cell r="A337" t="str">
            <v>홍명철</v>
          </cell>
          <cell r="B337" t="str">
            <v>서울시 구로구 새말로8가길10,102호</v>
          </cell>
          <cell r="C337" t="str">
            <v>681210-5102998</v>
          </cell>
          <cell r="D337" t="str">
            <v>010-8322-8156</v>
          </cell>
          <cell r="E337">
            <v>220000</v>
          </cell>
          <cell r="F337" t="str">
            <v>남</v>
          </cell>
          <cell r="G337">
            <v>59</v>
          </cell>
          <cell r="H337" t="str">
            <v>외국인</v>
          </cell>
          <cell r="I337" t="str">
            <v>HONG MINGZHE</v>
          </cell>
          <cell r="J337" t="str">
            <v>형틀목공</v>
          </cell>
          <cell r="K337" t="str">
            <v>한봉만팀</v>
          </cell>
          <cell r="L337" t="str">
            <v>1010-2735-4600</v>
          </cell>
          <cell r="M337" t="str">
            <v>수협은행</v>
          </cell>
          <cell r="N337" t="str">
            <v>(주)우민이엔지</v>
          </cell>
          <cell r="O337">
            <v>41872</v>
          </cell>
          <cell r="P337" t="str">
            <v>재외동포F4</v>
          </cell>
          <cell r="Q337">
            <v>46510</v>
          </cell>
          <cell r="R337">
            <v>45940</v>
          </cell>
          <cell r="S337">
            <v>45940</v>
          </cell>
          <cell r="T337">
            <v>45940</v>
          </cell>
          <cell r="V337" t="str">
            <v>형틀목공</v>
          </cell>
          <cell r="W337" t="str">
            <v>중국</v>
          </cell>
        </row>
        <row r="338">
          <cell r="A338" t="str">
            <v>김만휘</v>
          </cell>
          <cell r="B338" t="str">
            <v>서울시 구로구 구로동로17길56-21,101호</v>
          </cell>
          <cell r="C338" t="str">
            <v>020508-7920053</v>
          </cell>
          <cell r="D338" t="str">
            <v>010-8228-1567</v>
          </cell>
          <cell r="E338">
            <v>220000</v>
          </cell>
          <cell r="F338" t="str">
            <v>남</v>
          </cell>
          <cell r="G338">
            <v>25</v>
          </cell>
          <cell r="H338" t="str">
            <v>외국인</v>
          </cell>
          <cell r="I338" t="str">
            <v>JIN WANHUI</v>
          </cell>
          <cell r="J338" t="str">
            <v>형틀목공</v>
          </cell>
          <cell r="K338" t="str">
            <v>한봉만팀</v>
          </cell>
          <cell r="L338" t="str">
            <v>1010-2735-4600</v>
          </cell>
          <cell r="M338" t="str">
            <v>수협은행</v>
          </cell>
          <cell r="N338" t="str">
            <v>(주)우민이엔지</v>
          </cell>
          <cell r="O338">
            <v>45906</v>
          </cell>
          <cell r="P338" t="str">
            <v>방문취업H2</v>
          </cell>
          <cell r="Q338">
            <v>46205</v>
          </cell>
          <cell r="R338">
            <v>45940</v>
          </cell>
          <cell r="S338">
            <v>45940</v>
          </cell>
          <cell r="T338">
            <v>45940</v>
          </cell>
          <cell r="V338" t="str">
            <v>형틀목공</v>
          </cell>
          <cell r="W338" t="str">
            <v>중국</v>
          </cell>
        </row>
        <row r="339">
          <cell r="A339" t="str">
            <v>박찬국</v>
          </cell>
          <cell r="B339" t="str">
            <v>서울시 구로구 구로동로1길10,104호</v>
          </cell>
          <cell r="C339" t="str">
            <v>690324-5102694</v>
          </cell>
          <cell r="D339" t="str">
            <v>010-5175-1567</v>
          </cell>
          <cell r="E339">
            <v>220000</v>
          </cell>
          <cell r="F339" t="str">
            <v>남</v>
          </cell>
          <cell r="G339">
            <v>58</v>
          </cell>
          <cell r="H339" t="str">
            <v>외국인</v>
          </cell>
          <cell r="I339" t="str">
            <v>PIAO ZANGUO</v>
          </cell>
          <cell r="J339" t="str">
            <v>형틀목공</v>
          </cell>
          <cell r="K339" t="str">
            <v>한봉만팀</v>
          </cell>
          <cell r="L339" t="str">
            <v>1010-2735-4600</v>
          </cell>
          <cell r="M339" t="str">
            <v>수협은행</v>
          </cell>
          <cell r="N339" t="str">
            <v>(주)우민이엔지</v>
          </cell>
          <cell r="O339">
            <v>41124</v>
          </cell>
          <cell r="P339" t="str">
            <v>재외동포F4</v>
          </cell>
          <cell r="Q339">
            <v>46970</v>
          </cell>
          <cell r="R339">
            <v>45940</v>
          </cell>
          <cell r="S339">
            <v>45940</v>
          </cell>
          <cell r="T339">
            <v>45940</v>
          </cell>
          <cell r="V339" t="str">
            <v>형틀목공</v>
          </cell>
          <cell r="W339" t="str">
            <v>중국</v>
          </cell>
        </row>
        <row r="340">
          <cell r="A340" t="str">
            <v>정학주</v>
          </cell>
          <cell r="B340" t="str">
            <v>서울시 금천구 시흥대로147길45-6,B 205GH</v>
          </cell>
          <cell r="C340" t="str">
            <v>690511-5100029</v>
          </cell>
          <cell r="D340" t="str">
            <v>010-9376-7639</v>
          </cell>
          <cell r="E340">
            <v>220000</v>
          </cell>
          <cell r="F340" t="str">
            <v>남</v>
          </cell>
          <cell r="G340">
            <v>58</v>
          </cell>
          <cell r="H340" t="str">
            <v>외국인</v>
          </cell>
          <cell r="I340" t="str">
            <v>ZHENG XUEZHU</v>
          </cell>
          <cell r="J340" t="str">
            <v>형틀목공</v>
          </cell>
          <cell r="K340" t="str">
            <v>한봉만팀</v>
          </cell>
          <cell r="L340" t="str">
            <v>1010-2735-4600</v>
          </cell>
          <cell r="M340" t="str">
            <v>수협은행</v>
          </cell>
          <cell r="N340" t="str">
            <v>(주)우민이엔지</v>
          </cell>
          <cell r="O340">
            <v>41449</v>
          </cell>
          <cell r="P340" t="str">
            <v>재외동포F4</v>
          </cell>
          <cell r="Q340">
            <v>47003</v>
          </cell>
          <cell r="R340">
            <v>45940</v>
          </cell>
          <cell r="S340">
            <v>45940</v>
          </cell>
          <cell r="T340">
            <v>45940</v>
          </cell>
          <cell r="V340" t="str">
            <v>형틀목공</v>
          </cell>
          <cell r="W340" t="str">
            <v>중국</v>
          </cell>
        </row>
        <row r="341">
          <cell r="A341" t="str">
            <v>박명철</v>
          </cell>
          <cell r="B341" t="str">
            <v>서울특별시 영등포구 대림로 29길 49(대림동)</v>
          </cell>
          <cell r="C341" t="str">
            <v>800529-5920024</v>
          </cell>
          <cell r="D341" t="str">
            <v>010-5901-5097</v>
          </cell>
          <cell r="E341">
            <v>220000</v>
          </cell>
          <cell r="F341" t="str">
            <v>남</v>
          </cell>
          <cell r="G341">
            <v>47</v>
          </cell>
          <cell r="H341" t="str">
            <v>외국인</v>
          </cell>
          <cell r="I341" t="str">
            <v>PIAO MINGZHE</v>
          </cell>
          <cell r="J341" t="str">
            <v>형틀목공</v>
          </cell>
          <cell r="K341" t="str">
            <v>한봉만팀</v>
          </cell>
          <cell r="L341" t="str">
            <v>1010-2735-4600</v>
          </cell>
          <cell r="M341" t="str">
            <v>수협은행</v>
          </cell>
          <cell r="N341" t="str">
            <v>(주)우민이엔지</v>
          </cell>
          <cell r="O341">
            <v>42655</v>
          </cell>
          <cell r="P341" t="str">
            <v>방문취업H2</v>
          </cell>
          <cell r="Q341">
            <v>46455</v>
          </cell>
          <cell r="R341">
            <v>45944</v>
          </cell>
          <cell r="S341">
            <v>45944</v>
          </cell>
          <cell r="T341">
            <v>45944</v>
          </cell>
          <cell r="V341" t="str">
            <v>형틀목공</v>
          </cell>
          <cell r="W341" t="str">
            <v>중국</v>
          </cell>
        </row>
        <row r="342">
          <cell r="A342" t="str">
            <v>문재수</v>
          </cell>
          <cell r="B342" t="str">
            <v>서울특별시 금천구 시흥대로147길 45-6 마이바움B 205호(득산동)</v>
          </cell>
          <cell r="C342" t="str">
            <v>660729-5760016</v>
          </cell>
          <cell r="D342" t="str">
            <v>010-7687-6614</v>
          </cell>
          <cell r="E342">
            <v>220000</v>
          </cell>
          <cell r="F342" t="str">
            <v>남</v>
          </cell>
          <cell r="G342">
            <v>61</v>
          </cell>
          <cell r="H342" t="str">
            <v>외국인</v>
          </cell>
          <cell r="I342" t="str">
            <v>WEN ZAIZHU</v>
          </cell>
          <cell r="J342" t="str">
            <v>형틀목공</v>
          </cell>
          <cell r="K342" t="str">
            <v>한봉만팀</v>
          </cell>
          <cell r="L342" t="str">
            <v>1010-2735-4600</v>
          </cell>
          <cell r="M342" t="str">
            <v>수협은행</v>
          </cell>
          <cell r="N342" t="str">
            <v>(주)우민이엔지</v>
          </cell>
          <cell r="O342">
            <v>43529</v>
          </cell>
          <cell r="P342" t="str">
            <v>재외동포F4</v>
          </cell>
          <cell r="Q342">
            <v>47003</v>
          </cell>
          <cell r="R342">
            <v>45944</v>
          </cell>
          <cell r="S342">
            <v>45944</v>
          </cell>
          <cell r="T342">
            <v>45944</v>
          </cell>
          <cell r="V342" t="str">
            <v>형틀목공</v>
          </cell>
          <cell r="W342" t="str">
            <v>중국</v>
          </cell>
        </row>
        <row r="343">
          <cell r="A343" t="str">
            <v>이용철</v>
          </cell>
          <cell r="B343" t="str">
            <v>서울특별시 구로구 구로동로2가길4(가리봉동)</v>
          </cell>
          <cell r="C343" t="str">
            <v>710827-5102799</v>
          </cell>
          <cell r="D343" t="str">
            <v>010-8479-1333</v>
          </cell>
          <cell r="E343">
            <v>220000</v>
          </cell>
          <cell r="F343" t="str">
            <v>남</v>
          </cell>
          <cell r="G343">
            <v>56</v>
          </cell>
          <cell r="H343" t="str">
            <v>외국인</v>
          </cell>
          <cell r="I343" t="str">
            <v>LI YONGTIE</v>
          </cell>
          <cell r="J343" t="str">
            <v>형틀목공</v>
          </cell>
          <cell r="K343" t="str">
            <v>한봉만팀</v>
          </cell>
          <cell r="L343" t="str">
            <v>1010-2735-4600</v>
          </cell>
          <cell r="M343" t="str">
            <v>수협은행</v>
          </cell>
          <cell r="N343" t="str">
            <v>(주)우민이엔지</v>
          </cell>
          <cell r="O343">
            <v>41757</v>
          </cell>
          <cell r="P343" t="str">
            <v>방문취업H2</v>
          </cell>
          <cell r="Q343">
            <v>46929</v>
          </cell>
          <cell r="R343">
            <v>45944</v>
          </cell>
          <cell r="S343">
            <v>45944</v>
          </cell>
          <cell r="T343">
            <v>45944</v>
          </cell>
          <cell r="V343" t="str">
            <v>형틀목공</v>
          </cell>
          <cell r="W343" t="str">
            <v>중국</v>
          </cell>
        </row>
        <row r="344">
          <cell r="A344" t="str">
            <v>김운범</v>
          </cell>
          <cell r="B344" t="str">
            <v>서울 강서구 강서로 130-8, 303호(화곡동,성진빌라)</v>
          </cell>
          <cell r="C344" t="str">
            <v>670206-5101994</v>
          </cell>
          <cell r="D344" t="str">
            <v>010-8595-5510</v>
          </cell>
          <cell r="E344">
            <v>220000</v>
          </cell>
          <cell r="F344" t="str">
            <v>남</v>
          </cell>
          <cell r="G344">
            <v>60</v>
          </cell>
          <cell r="H344" t="str">
            <v>외국인</v>
          </cell>
          <cell r="I344" t="str">
            <v>JIN YUNFAN</v>
          </cell>
          <cell r="J344" t="str">
            <v>형틀목공</v>
          </cell>
          <cell r="K344" t="str">
            <v>한봉만팀</v>
          </cell>
          <cell r="L344" t="str">
            <v>1002-352-512824</v>
          </cell>
          <cell r="M344" t="str">
            <v>우리은행</v>
          </cell>
          <cell r="N344" t="str">
            <v>JIN YUNFAN</v>
          </cell>
          <cell r="O344">
            <v>45397</v>
          </cell>
          <cell r="P344" t="str">
            <v>재외동포F4</v>
          </cell>
          <cell r="Q344">
            <v>46883</v>
          </cell>
          <cell r="R344">
            <v>45948</v>
          </cell>
          <cell r="S344">
            <v>45948</v>
          </cell>
          <cell r="T344">
            <v>45948</v>
          </cell>
          <cell r="V344" t="str">
            <v>형틀목공</v>
          </cell>
          <cell r="W344" t="str">
            <v>중국</v>
          </cell>
        </row>
        <row r="345">
          <cell r="A345" t="str">
            <v>최석근</v>
          </cell>
          <cell r="B345" t="str">
            <v>서울특별시강서구 강서로 130-8 303호</v>
          </cell>
          <cell r="C345" t="str">
            <v>810304-5141593</v>
          </cell>
          <cell r="D345" t="str">
            <v>010-3260-8836</v>
          </cell>
          <cell r="E345">
            <v>210000</v>
          </cell>
          <cell r="F345" t="str">
            <v>남</v>
          </cell>
          <cell r="G345">
            <v>46</v>
          </cell>
          <cell r="H345" t="str">
            <v>외국인</v>
          </cell>
          <cell r="I345" t="str">
            <v>CUI SHIGEN</v>
          </cell>
          <cell r="J345" t="str">
            <v>형틀목공</v>
          </cell>
          <cell r="K345" t="str">
            <v>한봉만팀</v>
          </cell>
          <cell r="L345" t="str">
            <v>1002-458-225210</v>
          </cell>
          <cell r="M345" t="str">
            <v>우리은행</v>
          </cell>
          <cell r="N345" t="str">
            <v>CUI SHIGEN</v>
          </cell>
          <cell r="O345">
            <v>45531</v>
          </cell>
          <cell r="P345" t="str">
            <v>방문취업H2</v>
          </cell>
          <cell r="Q345">
            <v>46435</v>
          </cell>
          <cell r="R345">
            <v>45950</v>
          </cell>
          <cell r="S345">
            <v>45950</v>
          </cell>
          <cell r="T345">
            <v>45950</v>
          </cell>
          <cell r="V345" t="str">
            <v>형틀목공</v>
          </cell>
          <cell r="W345" t="str">
            <v>중국</v>
          </cell>
        </row>
        <row r="346">
          <cell r="A346" t="str">
            <v>김해봉</v>
          </cell>
          <cell r="B346" t="str">
            <v>경기 서울 시화호수전원2길 14-5 302호</v>
          </cell>
          <cell r="C346" t="str">
            <v>760518-5120693</v>
          </cell>
          <cell r="D346" t="str">
            <v>010-2489-9818</v>
          </cell>
          <cell r="E346">
            <v>210000</v>
          </cell>
          <cell r="F346" t="str">
            <v>남</v>
          </cell>
          <cell r="G346">
            <v>51</v>
          </cell>
          <cell r="H346" t="str">
            <v>외국인</v>
          </cell>
          <cell r="I346" t="str">
            <v>JIN HAIFENG</v>
          </cell>
          <cell r="J346" t="str">
            <v>형틀목공</v>
          </cell>
          <cell r="K346" t="str">
            <v>한봉만팀</v>
          </cell>
          <cell r="O346">
            <v>44896</v>
          </cell>
          <cell r="P346" t="str">
            <v>재외동포F4</v>
          </cell>
          <cell r="Q346">
            <v>46993</v>
          </cell>
          <cell r="R346">
            <v>46053</v>
          </cell>
          <cell r="S346">
            <v>46053</v>
          </cell>
          <cell r="T346">
            <v>46053</v>
          </cell>
          <cell r="V346" t="str">
            <v>형틀목공</v>
          </cell>
          <cell r="W346" t="str">
            <v>중국</v>
          </cell>
        </row>
        <row r="347">
          <cell r="F347" t="str">
            <v/>
          </cell>
          <cell r="G347" t="str">
            <v/>
          </cell>
          <cell r="H347" t="str">
            <v/>
          </cell>
          <cell r="Q347" t="str">
            <v/>
          </cell>
        </row>
        <row r="348">
          <cell r="A348" t="str">
            <v>왕연군</v>
          </cell>
          <cell r="C348" t="str">
            <v>700716-5</v>
          </cell>
          <cell r="D348" t="str">
            <v>010-8422-9902</v>
          </cell>
          <cell r="E348">
            <v>210000</v>
          </cell>
          <cell r="F348" t="str">
            <v>남</v>
          </cell>
          <cell r="G348">
            <v>57</v>
          </cell>
          <cell r="H348" t="str">
            <v>외국인</v>
          </cell>
          <cell r="I348" t="str">
            <v>WANG YANJUN</v>
          </cell>
          <cell r="J348" t="str">
            <v>형틀목공</v>
          </cell>
          <cell r="K348" t="str">
            <v>한봉만팀</v>
          </cell>
          <cell r="Q348" t="str">
            <v/>
          </cell>
          <cell r="S348">
            <v>45908</v>
          </cell>
          <cell r="T348">
            <v>45908</v>
          </cell>
          <cell r="U348" t="str">
            <v>EB8994907</v>
          </cell>
          <cell r="V348" t="str">
            <v>형틀목공</v>
          </cell>
          <cell r="W348" t="str">
            <v>중국</v>
          </cell>
        </row>
        <row r="349">
          <cell r="A349" t="str">
            <v>이영희</v>
          </cell>
          <cell r="C349" t="str">
            <v>760508-5</v>
          </cell>
          <cell r="D349" t="str">
            <v>010-9785-9066</v>
          </cell>
          <cell r="E349">
            <v>210000</v>
          </cell>
          <cell r="F349" t="str">
            <v>남</v>
          </cell>
          <cell r="G349">
            <v>51</v>
          </cell>
          <cell r="H349" t="str">
            <v>외국인</v>
          </cell>
          <cell r="I349" t="str">
            <v>LI YONGHUI</v>
          </cell>
          <cell r="J349" t="str">
            <v>형틀목공</v>
          </cell>
          <cell r="K349" t="str">
            <v>한봉만팀</v>
          </cell>
          <cell r="L349" t="str">
            <v>233-910551-87107</v>
          </cell>
          <cell r="M349" t="str">
            <v>하나은행</v>
          </cell>
          <cell r="N349" t="str">
            <v>LI YONGHUI</v>
          </cell>
          <cell r="O349">
            <v>44124</v>
          </cell>
          <cell r="Q349" t="str">
            <v/>
          </cell>
          <cell r="S349">
            <v>45920</v>
          </cell>
          <cell r="T349">
            <v>45920</v>
          </cell>
          <cell r="U349" t="str">
            <v>E98945717</v>
          </cell>
          <cell r="V349" t="str">
            <v>형틀목공</v>
          </cell>
          <cell r="W349" t="str">
            <v>중국</v>
          </cell>
        </row>
        <row r="350">
          <cell r="A350" t="str">
            <v>이영창</v>
          </cell>
          <cell r="C350" t="str">
            <v>741114-5</v>
          </cell>
          <cell r="D350" t="str">
            <v>010-7412-8388</v>
          </cell>
          <cell r="E350">
            <v>210000</v>
          </cell>
          <cell r="F350" t="str">
            <v>남</v>
          </cell>
          <cell r="G350">
            <v>53</v>
          </cell>
          <cell r="H350" t="str">
            <v>외국인</v>
          </cell>
          <cell r="I350" t="str">
            <v>LI RONGCANG</v>
          </cell>
          <cell r="J350" t="str">
            <v>형틀목공</v>
          </cell>
          <cell r="K350" t="str">
            <v>한봉만팀</v>
          </cell>
          <cell r="O350">
            <v>44427</v>
          </cell>
          <cell r="Q350" t="str">
            <v/>
          </cell>
          <cell r="R350">
            <v>45940</v>
          </cell>
          <cell r="S350">
            <v>45940</v>
          </cell>
          <cell r="T350">
            <v>45940</v>
          </cell>
          <cell r="U350" t="str">
            <v>EB7996381</v>
          </cell>
          <cell r="V350" t="str">
            <v>형틀목공</v>
          </cell>
          <cell r="W350" t="str">
            <v>중국</v>
          </cell>
        </row>
        <row r="351">
          <cell r="A351" t="str">
            <v>왕유천</v>
          </cell>
          <cell r="C351" t="str">
            <v>841104-5</v>
          </cell>
          <cell r="D351" t="str">
            <v>010-9751-4333</v>
          </cell>
          <cell r="E351">
            <v>210000</v>
          </cell>
          <cell r="F351" t="str">
            <v>남</v>
          </cell>
          <cell r="G351">
            <v>43</v>
          </cell>
          <cell r="H351" t="str">
            <v>외국인</v>
          </cell>
          <cell r="I351" t="str">
            <v>WANG YOUCHEN</v>
          </cell>
          <cell r="J351" t="str">
            <v>형틀목공</v>
          </cell>
          <cell r="K351" t="str">
            <v>한봉만팀</v>
          </cell>
          <cell r="O351">
            <v>44917</v>
          </cell>
          <cell r="Q351" t="str">
            <v/>
          </cell>
          <cell r="S351">
            <v>45944</v>
          </cell>
          <cell r="T351">
            <v>45944</v>
          </cell>
          <cell r="U351" t="str">
            <v>EA0550084</v>
          </cell>
          <cell r="V351" t="str">
            <v>형틀목공</v>
          </cell>
          <cell r="W351" t="str">
            <v>중국</v>
          </cell>
        </row>
        <row r="352">
          <cell r="A352" t="str">
            <v>이춘호</v>
          </cell>
          <cell r="B352" t="str">
            <v>경기도 부천시 원미구 신흥로92번길 40(심곡동)</v>
          </cell>
          <cell r="C352" t="str">
            <v>820413-5920027</v>
          </cell>
          <cell r="D352" t="str">
            <v>010-2622-8881</v>
          </cell>
          <cell r="E352">
            <v>210000</v>
          </cell>
          <cell r="F352" t="str">
            <v>남</v>
          </cell>
          <cell r="G352">
            <v>45</v>
          </cell>
          <cell r="H352" t="str">
            <v>외국인</v>
          </cell>
          <cell r="I352" t="str">
            <v>LI CHUNHU</v>
          </cell>
          <cell r="J352" t="str">
            <v>형틀목공</v>
          </cell>
          <cell r="K352" t="str">
            <v>한봉만팀</v>
          </cell>
          <cell r="O352">
            <v>42282</v>
          </cell>
          <cell r="P352" t="str">
            <v>재외동포F4</v>
          </cell>
          <cell r="Q352">
            <v>45958</v>
          </cell>
          <cell r="R352">
            <v>45944</v>
          </cell>
          <cell r="S352">
            <v>45944</v>
          </cell>
          <cell r="T352">
            <v>45944</v>
          </cell>
          <cell r="V352" t="str">
            <v>형틀목공</v>
          </cell>
          <cell r="W352" t="str">
            <v>중국</v>
          </cell>
        </row>
        <row r="353">
          <cell r="A353" t="str">
            <v>여진부</v>
          </cell>
          <cell r="C353" t="str">
            <v>910704-5</v>
          </cell>
          <cell r="D353" t="str">
            <v>010-7315-2748</v>
          </cell>
          <cell r="E353">
            <v>210000</v>
          </cell>
          <cell r="F353" t="str">
            <v>남</v>
          </cell>
          <cell r="G353">
            <v>36</v>
          </cell>
          <cell r="H353" t="str">
            <v>외국인</v>
          </cell>
          <cell r="I353" t="str">
            <v>NGUYEN DINH VU</v>
          </cell>
          <cell r="J353" t="str">
            <v>형틀목공</v>
          </cell>
          <cell r="K353" t="str">
            <v>한봉만팀</v>
          </cell>
          <cell r="O353">
            <v>43395</v>
          </cell>
          <cell r="Q353" t="str">
            <v/>
          </cell>
          <cell r="R353">
            <v>45961</v>
          </cell>
          <cell r="S353">
            <v>45961</v>
          </cell>
          <cell r="T353">
            <v>45961</v>
          </cell>
          <cell r="U353" t="str">
            <v>N1947334</v>
          </cell>
          <cell r="V353" t="str">
            <v>형틀목공</v>
          </cell>
          <cell r="W353" t="str">
            <v>베트남</v>
          </cell>
        </row>
        <row r="354">
          <cell r="A354" t="str">
            <v>디엔득</v>
          </cell>
          <cell r="B354" t="str">
            <v>원주시 명륜동 843-9번지, 206호</v>
          </cell>
          <cell r="C354" t="str">
            <v>960517-5</v>
          </cell>
          <cell r="D354" t="str">
            <v>010-5660-1705</v>
          </cell>
          <cell r="E354">
            <v>210000</v>
          </cell>
          <cell r="F354" t="str">
            <v>남</v>
          </cell>
          <cell r="G354">
            <v>31</v>
          </cell>
          <cell r="H354" t="str">
            <v>외국인</v>
          </cell>
          <cell r="I354" t="str">
            <v>NGUYEN TIEN DUC</v>
          </cell>
          <cell r="J354" t="str">
            <v>형틀목공</v>
          </cell>
          <cell r="K354" t="str">
            <v>한봉만팀</v>
          </cell>
          <cell r="O354">
            <v>44190</v>
          </cell>
          <cell r="Q354" t="str">
            <v/>
          </cell>
          <cell r="R354">
            <v>45961</v>
          </cell>
          <cell r="S354">
            <v>45961</v>
          </cell>
          <cell r="T354">
            <v>45961</v>
          </cell>
          <cell r="U354" t="str">
            <v>Q00158089</v>
          </cell>
          <cell r="V354" t="str">
            <v>형틀목공</v>
          </cell>
          <cell r="W354" t="str">
            <v>베트남</v>
          </cell>
        </row>
        <row r="355">
          <cell r="A355" t="str">
            <v>디엔누이</v>
          </cell>
          <cell r="B355" t="str">
            <v>원주시 명륜동 843-9번지, 206호</v>
          </cell>
          <cell r="C355" t="str">
            <v>910508-5</v>
          </cell>
          <cell r="D355" t="str">
            <v>010-7942-2802</v>
          </cell>
          <cell r="E355">
            <v>210000</v>
          </cell>
          <cell r="F355" t="str">
            <v>남</v>
          </cell>
          <cell r="G355">
            <v>36</v>
          </cell>
          <cell r="H355" t="str">
            <v>외국인</v>
          </cell>
          <cell r="I355" t="str">
            <v>VO TIEN NUI</v>
          </cell>
          <cell r="J355" t="str">
            <v>형틀목공</v>
          </cell>
          <cell r="K355" t="str">
            <v>한봉만팀</v>
          </cell>
          <cell r="O355">
            <v>43987</v>
          </cell>
          <cell r="Q355" t="str">
            <v/>
          </cell>
          <cell r="R355">
            <v>45961</v>
          </cell>
          <cell r="S355">
            <v>45961</v>
          </cell>
          <cell r="T355">
            <v>45961</v>
          </cell>
          <cell r="U355" t="str">
            <v>C7488389</v>
          </cell>
          <cell r="V355" t="str">
            <v>형틀목공</v>
          </cell>
          <cell r="W355" t="str">
            <v>베트남</v>
          </cell>
        </row>
        <row r="356">
          <cell r="A356" t="str">
            <v>디엔황</v>
          </cell>
          <cell r="B356" t="str">
            <v>원주시 명륜동 843-9번지, 206호</v>
          </cell>
          <cell r="C356" t="str">
            <v>050301-5</v>
          </cell>
          <cell r="D356" t="str">
            <v>010-9503-4288</v>
          </cell>
          <cell r="E356">
            <v>210000</v>
          </cell>
          <cell r="F356" t="str">
            <v>남</v>
          </cell>
          <cell r="G356">
            <v>22</v>
          </cell>
          <cell r="H356" t="str">
            <v>외국인</v>
          </cell>
          <cell r="I356" t="str">
            <v>NGUYEN TIEN HOANG</v>
          </cell>
          <cell r="J356" t="str">
            <v>형틀목공</v>
          </cell>
          <cell r="K356" t="str">
            <v>한봉만팀</v>
          </cell>
          <cell r="O356">
            <v>44147</v>
          </cell>
          <cell r="Q356" t="str">
            <v/>
          </cell>
          <cell r="R356">
            <v>45961</v>
          </cell>
          <cell r="S356">
            <v>45961</v>
          </cell>
          <cell r="T356">
            <v>45961</v>
          </cell>
          <cell r="U356" t="str">
            <v>E01273224</v>
          </cell>
          <cell r="V356" t="str">
            <v>형틀목공</v>
          </cell>
          <cell r="W356" t="str">
            <v>베트남</v>
          </cell>
        </row>
        <row r="357">
          <cell r="A357" t="str">
            <v>반빈</v>
          </cell>
          <cell r="B357" t="str">
            <v>원주시 명륜동 843-9번지, 206호</v>
          </cell>
          <cell r="C357" t="str">
            <v>910818-5</v>
          </cell>
          <cell r="D357" t="str">
            <v>010-2473-9352</v>
          </cell>
          <cell r="E357">
            <v>210000</v>
          </cell>
          <cell r="F357" t="str">
            <v>남</v>
          </cell>
          <cell r="G357">
            <v>36</v>
          </cell>
          <cell r="H357" t="str">
            <v>외국인</v>
          </cell>
          <cell r="I357" t="str">
            <v>NGUYEN VAN BINH</v>
          </cell>
          <cell r="J357" t="str">
            <v>형틀목공</v>
          </cell>
          <cell r="K357" t="str">
            <v>한봉만팀</v>
          </cell>
          <cell r="O357">
            <v>42857</v>
          </cell>
          <cell r="R357">
            <v>45965</v>
          </cell>
          <cell r="S357">
            <v>45965</v>
          </cell>
          <cell r="T357">
            <v>45965</v>
          </cell>
          <cell r="U357" t="str">
            <v>Q00433196</v>
          </cell>
          <cell r="V357" t="str">
            <v>형틀목공</v>
          </cell>
          <cell r="W357" t="str">
            <v>베트남</v>
          </cell>
        </row>
        <row r="358">
          <cell r="A358" t="str">
            <v>반뎀</v>
          </cell>
          <cell r="B358" t="str">
            <v>원주시 명륜동 843-9번지, 206호</v>
          </cell>
          <cell r="C358" t="str">
            <v>801202-5</v>
          </cell>
          <cell r="D358" t="str">
            <v>010-5893-8083</v>
          </cell>
          <cell r="E358">
            <v>210000</v>
          </cell>
          <cell r="F358" t="str">
            <v>남</v>
          </cell>
          <cell r="G358">
            <v>47</v>
          </cell>
          <cell r="H358" t="str">
            <v>외국인</v>
          </cell>
          <cell r="I358" t="str">
            <v>NGUYEN CANH DIEP</v>
          </cell>
          <cell r="J358" t="str">
            <v>형틀목공</v>
          </cell>
          <cell r="K358" t="str">
            <v>한봉만팀</v>
          </cell>
          <cell r="O358">
            <v>43570</v>
          </cell>
          <cell r="R358">
            <v>45965</v>
          </cell>
          <cell r="S358">
            <v>45965</v>
          </cell>
          <cell r="T358">
            <v>45965</v>
          </cell>
          <cell r="U358" t="str">
            <v>C3003542</v>
          </cell>
          <cell r="V358" t="str">
            <v>형틀목공</v>
          </cell>
          <cell r="W358" t="str">
            <v>베트남</v>
          </cell>
        </row>
        <row r="359">
          <cell r="A359" t="str">
            <v>득박</v>
          </cell>
          <cell r="B359" t="str">
            <v>원주시 명륜동 843-9번지, 206호</v>
          </cell>
          <cell r="C359" t="str">
            <v>840601-5</v>
          </cell>
          <cell r="D359" t="str">
            <v>010-3472-3968</v>
          </cell>
          <cell r="E359">
            <v>210000</v>
          </cell>
          <cell r="F359" t="str">
            <v>남</v>
          </cell>
          <cell r="G359">
            <v>43</v>
          </cell>
          <cell r="H359" t="str">
            <v>외국인</v>
          </cell>
          <cell r="I359" t="str">
            <v>NGUYEN DUCBAC</v>
          </cell>
          <cell r="J359" t="str">
            <v>형틀목공</v>
          </cell>
          <cell r="K359" t="str">
            <v>한봉만팀</v>
          </cell>
          <cell r="O359">
            <v>43944</v>
          </cell>
          <cell r="R359">
            <v>45983</v>
          </cell>
          <cell r="S359">
            <v>45983</v>
          </cell>
          <cell r="T359">
            <v>45983</v>
          </cell>
          <cell r="U359" t="str">
            <v>P02827410</v>
          </cell>
          <cell r="V359" t="str">
            <v>형틀목공</v>
          </cell>
          <cell r="W359" t="str">
            <v>베트남</v>
          </cell>
        </row>
        <row r="360">
          <cell r="A360" t="str">
            <v>투안</v>
          </cell>
          <cell r="B360" t="str">
            <v>원주시 명륜동 843-9번지, 206호</v>
          </cell>
          <cell r="C360" t="str">
            <v>930906-5</v>
          </cell>
          <cell r="D360" t="str">
            <v>010-4898-6768</v>
          </cell>
          <cell r="E360">
            <v>210000</v>
          </cell>
          <cell r="F360" t="str">
            <v>남</v>
          </cell>
          <cell r="G360">
            <v>34</v>
          </cell>
          <cell r="H360" t="str">
            <v>외국인</v>
          </cell>
          <cell r="I360" t="str">
            <v>LE DUCTUAN</v>
          </cell>
          <cell r="J360" t="str">
            <v>형틀목공</v>
          </cell>
          <cell r="K360" t="str">
            <v>한봉만팀</v>
          </cell>
          <cell r="O360">
            <v>44002</v>
          </cell>
          <cell r="R360">
            <v>45983</v>
          </cell>
          <cell r="S360">
            <v>45983</v>
          </cell>
          <cell r="T360">
            <v>45983</v>
          </cell>
          <cell r="U360" t="str">
            <v>P02085872</v>
          </cell>
          <cell r="V360" t="str">
            <v>형틀목공</v>
          </cell>
          <cell r="W360" t="str">
            <v>베트남</v>
          </cell>
        </row>
        <row r="361">
          <cell r="A361" t="str">
            <v>반중</v>
          </cell>
          <cell r="B361" t="str">
            <v>원주시 명륜동 843번지</v>
          </cell>
          <cell r="C361" t="str">
            <v>990811-5</v>
          </cell>
          <cell r="D361" t="str">
            <v>010-8065-4333</v>
          </cell>
          <cell r="E361">
            <v>210000</v>
          </cell>
          <cell r="F361" t="str">
            <v>남</v>
          </cell>
          <cell r="G361">
            <v>28</v>
          </cell>
          <cell r="H361" t="str">
            <v>외국인</v>
          </cell>
          <cell r="I361" t="str">
            <v>HOANG VAN DUNG</v>
          </cell>
          <cell r="J361" t="str">
            <v>형틀목공</v>
          </cell>
          <cell r="K361" t="str">
            <v>한봉만팀</v>
          </cell>
          <cell r="O361">
            <v>43634</v>
          </cell>
          <cell r="R361">
            <v>46111</v>
          </cell>
          <cell r="S361">
            <v>46111</v>
          </cell>
          <cell r="T361">
            <v>46111</v>
          </cell>
          <cell r="U361" t="str">
            <v>E03680059</v>
          </cell>
          <cell r="V361" t="str">
            <v>형틀목공</v>
          </cell>
          <cell r="W361" t="str">
            <v>베트남</v>
          </cell>
        </row>
        <row r="362">
          <cell r="A362" t="str">
            <v>띠엔방</v>
          </cell>
          <cell r="B362" t="str">
            <v>강원 원주시</v>
          </cell>
          <cell r="C362" t="str">
            <v>860327-5</v>
          </cell>
          <cell r="D362" t="str">
            <v>010-4485-1985</v>
          </cell>
          <cell r="E362">
            <v>210000</v>
          </cell>
          <cell r="F362" t="str">
            <v>남</v>
          </cell>
          <cell r="G362">
            <v>41</v>
          </cell>
          <cell r="H362" t="str">
            <v>외국인</v>
          </cell>
          <cell r="I362" t="str">
            <v>NGUYEN TIEN BANG</v>
          </cell>
          <cell r="J362" t="str">
            <v>형틀목공</v>
          </cell>
          <cell r="K362" t="str">
            <v>한봉만팀</v>
          </cell>
          <cell r="O362">
            <v>43733</v>
          </cell>
          <cell r="R362">
            <v>46150</v>
          </cell>
          <cell r="S362">
            <v>46150</v>
          </cell>
          <cell r="T362">
            <v>46150</v>
          </cell>
          <cell r="U362" t="str">
            <v>K0229341</v>
          </cell>
          <cell r="V362" t="str">
            <v>형틀목공</v>
          </cell>
          <cell r="W362" t="str">
            <v>베트남</v>
          </cell>
        </row>
        <row r="363">
          <cell r="A363" t="str">
            <v>반종</v>
          </cell>
          <cell r="B363" t="str">
            <v>강원 원주시</v>
          </cell>
          <cell r="C363" t="str">
            <v>011106-5</v>
          </cell>
          <cell r="D363" t="str">
            <v>010-7620-0685</v>
          </cell>
          <cell r="E363">
            <v>210000</v>
          </cell>
          <cell r="F363" t="str">
            <v>남</v>
          </cell>
          <cell r="G363">
            <v>126</v>
          </cell>
          <cell r="H363" t="str">
            <v>외국인</v>
          </cell>
          <cell r="I363" t="str">
            <v>PHAN VAN DUNG</v>
          </cell>
          <cell r="J363" t="str">
            <v>형틀목공</v>
          </cell>
          <cell r="K363" t="str">
            <v>한봉만팀</v>
          </cell>
          <cell r="O363">
            <v>44147</v>
          </cell>
          <cell r="R363">
            <v>46150</v>
          </cell>
          <cell r="S363">
            <v>46150</v>
          </cell>
          <cell r="T363">
            <v>46150</v>
          </cell>
          <cell r="U363" t="str">
            <v>P03695292</v>
          </cell>
          <cell r="V363" t="str">
            <v>형틀목공</v>
          </cell>
          <cell r="W363" t="str">
            <v>베트남</v>
          </cell>
        </row>
        <row r="364">
          <cell r="A364" t="str">
            <v>반투</v>
          </cell>
          <cell r="B364" t="str">
            <v>원주시 남원로 499번길 13-15</v>
          </cell>
          <cell r="C364" t="str">
            <v>921026-5</v>
          </cell>
          <cell r="D364" t="str">
            <v>010-6700-4896</v>
          </cell>
          <cell r="E364">
            <v>210000</v>
          </cell>
          <cell r="F364" t="str">
            <v>남</v>
          </cell>
          <cell r="G364">
            <v>35</v>
          </cell>
          <cell r="H364" t="str">
            <v>외국인</v>
          </cell>
          <cell r="I364" t="str">
            <v>NGUYEN VAN THU</v>
          </cell>
          <cell r="J364" t="str">
            <v>형틀목공</v>
          </cell>
          <cell r="K364" t="str">
            <v>한봉만팀</v>
          </cell>
          <cell r="O364">
            <v>43768</v>
          </cell>
          <cell r="R364">
            <v>46150</v>
          </cell>
          <cell r="S364">
            <v>46150</v>
          </cell>
          <cell r="T364">
            <v>46150</v>
          </cell>
          <cell r="U364" t="str">
            <v>Q00405766</v>
          </cell>
          <cell r="V364" t="str">
            <v>형틀목공</v>
          </cell>
          <cell r="W364" t="str">
            <v>베트남</v>
          </cell>
        </row>
        <row r="365">
          <cell r="A365" t="str">
            <v>빙</v>
          </cell>
          <cell r="B365" t="str">
            <v>강원 원주시</v>
          </cell>
          <cell r="C365" t="str">
            <v>930813-5</v>
          </cell>
          <cell r="D365" t="str">
            <v>010-8189-9870</v>
          </cell>
          <cell r="E365">
            <v>210000</v>
          </cell>
          <cell r="F365" t="str">
            <v>남</v>
          </cell>
          <cell r="G365">
            <v>34</v>
          </cell>
          <cell r="H365" t="str">
            <v>외국인</v>
          </cell>
          <cell r="I365" t="str">
            <v>VO DANH VINH</v>
          </cell>
          <cell r="J365" t="str">
            <v>형틀목공</v>
          </cell>
          <cell r="K365" t="str">
            <v>한봉만팀</v>
          </cell>
          <cell r="O365">
            <v>44008</v>
          </cell>
          <cell r="R365">
            <v>46150</v>
          </cell>
          <cell r="S365">
            <v>46150</v>
          </cell>
          <cell r="T365">
            <v>46150</v>
          </cell>
          <cell r="U365" t="str">
            <v>E03635136</v>
          </cell>
          <cell r="V365" t="str">
            <v>형틀목공</v>
          </cell>
          <cell r="W365" t="str">
            <v>베트남</v>
          </cell>
        </row>
        <row r="366">
          <cell r="A366" t="str">
            <v>후이응아</v>
          </cell>
          <cell r="B366" t="str">
            <v>강원 원주시</v>
          </cell>
          <cell r="C366" t="str">
            <v>880820-5</v>
          </cell>
          <cell r="D366" t="str">
            <v>010-7301-4804</v>
          </cell>
          <cell r="E366">
            <v>210000</v>
          </cell>
          <cell r="F366" t="str">
            <v>남</v>
          </cell>
          <cell r="G366">
            <v>39</v>
          </cell>
          <cell r="H366" t="str">
            <v>외국인</v>
          </cell>
          <cell r="I366" t="str">
            <v>NGUYEN HUY NGA</v>
          </cell>
          <cell r="J366" t="str">
            <v>형틀목공</v>
          </cell>
          <cell r="K366" t="str">
            <v>한봉만팀</v>
          </cell>
          <cell r="O366">
            <v>43876</v>
          </cell>
          <cell r="R366">
            <v>46150</v>
          </cell>
          <cell r="S366">
            <v>46150</v>
          </cell>
          <cell r="T366">
            <v>46150</v>
          </cell>
          <cell r="U366" t="str">
            <v>C7113591</v>
          </cell>
          <cell r="V366" t="str">
            <v>형틀목공</v>
          </cell>
          <cell r="W366" t="str">
            <v>베트남</v>
          </cell>
        </row>
        <row r="367">
          <cell r="A367" t="str">
            <v>원반하이</v>
          </cell>
          <cell r="C367" t="str">
            <v>000428-5</v>
          </cell>
          <cell r="D367" t="str">
            <v>010-2501-8118</v>
          </cell>
          <cell r="E367">
            <v>210000</v>
          </cell>
          <cell r="F367" t="str">
            <v>남</v>
          </cell>
          <cell r="G367">
            <v>27</v>
          </cell>
          <cell r="H367" t="str">
            <v>외국인</v>
          </cell>
          <cell r="I367" t="str">
            <v>NGUYEN VAN HAI</v>
          </cell>
          <cell r="J367" t="str">
            <v>형틀목공</v>
          </cell>
          <cell r="K367" t="str">
            <v>한봉만팀</v>
          </cell>
          <cell r="O367">
            <v>43957</v>
          </cell>
          <cell r="R367">
            <v>46224</v>
          </cell>
          <cell r="S367">
            <v>46224</v>
          </cell>
          <cell r="T367">
            <v>46224</v>
          </cell>
          <cell r="U367" t="str">
            <v>C5683066</v>
          </cell>
          <cell r="V367" t="str">
            <v>형틀목공</v>
          </cell>
          <cell r="W367" t="str">
            <v>베트남</v>
          </cell>
        </row>
        <row r="368">
          <cell r="A368" t="str">
            <v>쩐국휘</v>
          </cell>
          <cell r="B368" t="str">
            <v>강원 원주시</v>
          </cell>
          <cell r="C368" t="str">
            <v>800416-5</v>
          </cell>
          <cell r="D368" t="str">
            <v>010-2537-9989</v>
          </cell>
          <cell r="E368">
            <v>210000</v>
          </cell>
          <cell r="F368" t="str">
            <v>남</v>
          </cell>
          <cell r="G368">
            <v>47</v>
          </cell>
          <cell r="H368" t="str">
            <v>외국인</v>
          </cell>
          <cell r="I368" t="str">
            <v>TRAN QUQC HUY</v>
          </cell>
          <cell r="J368" t="str">
            <v>형틀목공</v>
          </cell>
          <cell r="K368" t="str">
            <v>한봉만팀</v>
          </cell>
          <cell r="O368">
            <v>43763</v>
          </cell>
          <cell r="Q368" t="str">
            <v/>
          </cell>
          <cell r="R368">
            <v>46226</v>
          </cell>
          <cell r="S368">
            <v>46226</v>
          </cell>
          <cell r="T368">
            <v>46226</v>
          </cell>
          <cell r="U368" t="str">
            <v>C8495797</v>
          </cell>
          <cell r="V368" t="str">
            <v>형틀목공</v>
          </cell>
          <cell r="W368" t="str">
            <v>베트남</v>
          </cell>
        </row>
        <row r="369">
          <cell r="F369" t="str">
            <v/>
          </cell>
          <cell r="G369" t="str">
            <v/>
          </cell>
          <cell r="H369" t="str">
            <v/>
          </cell>
          <cell r="Q369" t="str">
            <v/>
          </cell>
        </row>
        <row r="370">
          <cell r="F370" t="str">
            <v/>
          </cell>
          <cell r="G370" t="str">
            <v/>
          </cell>
          <cell r="H370" t="str">
            <v/>
          </cell>
          <cell r="Q370" t="str">
            <v/>
          </cell>
        </row>
        <row r="371">
          <cell r="F371" t="str">
            <v/>
          </cell>
          <cell r="G371" t="str">
            <v/>
          </cell>
          <cell r="H371" t="str">
            <v/>
          </cell>
          <cell r="Q371" t="str">
            <v/>
          </cell>
        </row>
        <row r="372">
          <cell r="A372" t="str">
            <v>김수경</v>
          </cell>
          <cell r="F372" t="str">
            <v/>
          </cell>
          <cell r="G372" t="str">
            <v/>
          </cell>
          <cell r="H372" t="str">
            <v/>
          </cell>
          <cell r="I372" t="str">
            <v>JIN ZHUJING</v>
          </cell>
          <cell r="L372" t="str">
            <v>356-0130-7280-63</v>
          </cell>
          <cell r="M372" t="str">
            <v>농협은행</v>
          </cell>
          <cell r="N372" t="str">
            <v>JIN ZHUJING</v>
          </cell>
          <cell r="Q372" t="str">
            <v/>
          </cell>
        </row>
        <row r="373">
          <cell r="A373" t="str">
            <v>김진</v>
          </cell>
          <cell r="B373" t="str">
            <v>서울시 영등포구 디지털로 54길 24-15</v>
          </cell>
          <cell r="C373" t="str">
            <v>891209-5100020</v>
          </cell>
          <cell r="D373" t="str">
            <v>010-8755-2208</v>
          </cell>
          <cell r="E373">
            <v>220000</v>
          </cell>
          <cell r="F373" t="str">
            <v>남</v>
          </cell>
          <cell r="G373">
            <v>38</v>
          </cell>
          <cell r="H373" t="str">
            <v>외국인</v>
          </cell>
          <cell r="I373" t="str">
            <v>JIN ZHEN</v>
          </cell>
          <cell r="J373" t="str">
            <v>형틀목공</v>
          </cell>
          <cell r="K373" t="str">
            <v>김수경팀</v>
          </cell>
          <cell r="L373" t="str">
            <v>422001-04-153916</v>
          </cell>
          <cell r="M373" t="str">
            <v>국민은행</v>
          </cell>
          <cell r="N373" t="str">
            <v>JIN ZHEN</v>
          </cell>
          <cell r="O373">
            <v>42886</v>
          </cell>
          <cell r="P373" t="str">
            <v>재외동포F4</v>
          </cell>
          <cell r="Q373">
            <v>46058</v>
          </cell>
          <cell r="T373">
            <v>45847</v>
          </cell>
          <cell r="U373" t="str">
            <v>EJ4684141</v>
          </cell>
          <cell r="V373" t="str">
            <v>형틀목공</v>
          </cell>
          <cell r="W373" t="str">
            <v>중국</v>
          </cell>
        </row>
        <row r="374">
          <cell r="A374" t="str">
            <v>태영춘</v>
          </cell>
          <cell r="B374" t="str">
            <v>경기 평택시 지산로12번길76,702호</v>
          </cell>
          <cell r="C374" t="str">
            <v>670210-5760199</v>
          </cell>
          <cell r="D374" t="str">
            <v>010-4188-8868</v>
          </cell>
          <cell r="E374">
            <v>210000</v>
          </cell>
          <cell r="F374" t="str">
            <v>남</v>
          </cell>
          <cell r="G374">
            <v>60</v>
          </cell>
          <cell r="H374" t="str">
            <v>외국인</v>
          </cell>
          <cell r="I374" t="str">
            <v>TAI YONGCHUN</v>
          </cell>
          <cell r="J374" t="str">
            <v>형틀목공</v>
          </cell>
          <cell r="K374" t="str">
            <v>김광일팀</v>
          </cell>
          <cell r="L374" t="str">
            <v>010-4188-8868</v>
          </cell>
          <cell r="M374" t="str">
            <v>기업은행</v>
          </cell>
          <cell r="N374" t="str">
            <v>TAI YONGCHUN</v>
          </cell>
          <cell r="O374">
            <v>42665</v>
          </cell>
          <cell r="P374" t="str">
            <v>재외동포F4</v>
          </cell>
          <cell r="Q374">
            <v>46889</v>
          </cell>
          <cell r="S374">
            <v>45923</v>
          </cell>
          <cell r="T374">
            <v>45923</v>
          </cell>
          <cell r="V374" t="str">
            <v>형틀목공</v>
          </cell>
          <cell r="W374" t="str">
            <v>중국</v>
          </cell>
        </row>
        <row r="375">
          <cell r="A375" t="str">
            <v>마성휘</v>
          </cell>
          <cell r="B375" t="str">
            <v>서울시 금천구 독산로302-1,나동203호</v>
          </cell>
          <cell r="C375" t="str">
            <v>790119-5820018</v>
          </cell>
          <cell r="D375" t="str">
            <v>010-7150-1019</v>
          </cell>
          <cell r="E375">
            <v>210000</v>
          </cell>
          <cell r="F375" t="str">
            <v>남</v>
          </cell>
          <cell r="G375">
            <v>48</v>
          </cell>
          <cell r="H375" t="str">
            <v>외국인</v>
          </cell>
          <cell r="I375" t="str">
            <v>MA CHENGHUI</v>
          </cell>
          <cell r="J375" t="str">
            <v>형틀목공</v>
          </cell>
          <cell r="K375" t="str">
            <v>김광일팀</v>
          </cell>
          <cell r="L375" t="str">
            <v>914802-01-556223</v>
          </cell>
          <cell r="M375" t="str">
            <v>국민은행</v>
          </cell>
          <cell r="N375" t="str">
            <v>MA CHENGHUI</v>
          </cell>
          <cell r="O375">
            <v>43988</v>
          </cell>
          <cell r="P375" t="str">
            <v>방문취업H2</v>
          </cell>
          <cell r="Q375">
            <v>46301</v>
          </cell>
          <cell r="S375">
            <v>45923</v>
          </cell>
          <cell r="T375">
            <v>45923</v>
          </cell>
          <cell r="V375" t="str">
            <v>형틀목공</v>
          </cell>
          <cell r="W375" t="str">
            <v>중국</v>
          </cell>
        </row>
        <row r="376">
          <cell r="F376" t="str">
            <v/>
          </cell>
          <cell r="G376" t="str">
            <v/>
          </cell>
          <cell r="H376" t="str">
            <v/>
          </cell>
          <cell r="Q376" t="str">
            <v/>
          </cell>
        </row>
        <row r="377">
          <cell r="A377" t="str">
            <v>박송철</v>
          </cell>
          <cell r="B377" t="str">
            <v>서울 영등포구 국화대로56길 10 303호</v>
          </cell>
          <cell r="C377" t="str">
            <v>900319-5820031</v>
          </cell>
          <cell r="D377" t="str">
            <v>010-2226-9199</v>
          </cell>
          <cell r="E377">
            <v>220000</v>
          </cell>
          <cell r="F377" t="str">
            <v>남</v>
          </cell>
          <cell r="G377">
            <v>37</v>
          </cell>
          <cell r="H377" t="str">
            <v>외국인</v>
          </cell>
          <cell r="I377" t="str">
            <v>PIAO SONGZHE</v>
          </cell>
          <cell r="J377" t="str">
            <v>형틀목공</v>
          </cell>
          <cell r="K377" t="str">
            <v>한봉만팀</v>
          </cell>
          <cell r="L377" t="str">
            <v>1002-354-597109</v>
          </cell>
          <cell r="M377" t="str">
            <v>우리은행</v>
          </cell>
          <cell r="N377" t="str">
            <v>PIAO SONGZHE</v>
          </cell>
          <cell r="O377">
            <v>42650</v>
          </cell>
          <cell r="P377" t="str">
            <v>재외동포F4</v>
          </cell>
          <cell r="Q377">
            <v>46624</v>
          </cell>
          <cell r="R377">
            <v>46072</v>
          </cell>
          <cell r="S377">
            <v>46072</v>
          </cell>
          <cell r="T377">
            <v>46072</v>
          </cell>
          <cell r="V377" t="str">
            <v>형틀목공</v>
          </cell>
          <cell r="W377" t="str">
            <v>중국</v>
          </cell>
        </row>
        <row r="378">
          <cell r="A378" t="str">
            <v>여상국</v>
          </cell>
          <cell r="B378" t="str">
            <v>경기도 오산시 법원로15번길 41-9,407호</v>
          </cell>
          <cell r="C378" t="str">
            <v>690209-5120497</v>
          </cell>
          <cell r="D378" t="str">
            <v>010-2079-7607</v>
          </cell>
          <cell r="E378">
            <v>220000</v>
          </cell>
          <cell r="F378" t="str">
            <v>남</v>
          </cell>
          <cell r="G378">
            <v>58</v>
          </cell>
          <cell r="H378" t="str">
            <v>외국인</v>
          </cell>
          <cell r="I378" t="str">
            <v>LYU XIANGGUO</v>
          </cell>
          <cell r="J378" t="str">
            <v>형틀목공</v>
          </cell>
          <cell r="K378" t="str">
            <v>한봉만팀</v>
          </cell>
          <cell r="O378">
            <v>45369</v>
          </cell>
          <cell r="P378" t="str">
            <v>재외동포F4</v>
          </cell>
          <cell r="Q378">
            <v>46391</v>
          </cell>
          <cell r="R378">
            <v>46072</v>
          </cell>
          <cell r="S378">
            <v>46072</v>
          </cell>
          <cell r="T378">
            <v>46072</v>
          </cell>
          <cell r="V378" t="str">
            <v>형틀목공</v>
          </cell>
          <cell r="W378" t="str">
            <v>중국</v>
          </cell>
        </row>
        <row r="379">
          <cell r="A379" t="str">
            <v>이광순</v>
          </cell>
          <cell r="B379" t="str">
            <v>경기 고양 일산서구 덕산로312번길 7, A-202</v>
          </cell>
          <cell r="C379" t="str">
            <v>730804-5300696</v>
          </cell>
          <cell r="D379" t="str">
            <v>010-6830-3362</v>
          </cell>
          <cell r="E379">
            <v>220000</v>
          </cell>
          <cell r="F379" t="str">
            <v>남</v>
          </cell>
          <cell r="G379">
            <v>54</v>
          </cell>
          <cell r="H379" t="str">
            <v>외국인</v>
          </cell>
          <cell r="I379" t="str">
            <v>LI GUANGCHUN</v>
          </cell>
          <cell r="J379" t="str">
            <v>형틀목공</v>
          </cell>
          <cell r="K379" t="str">
            <v>한봉만팀</v>
          </cell>
          <cell r="O379">
            <v>41675</v>
          </cell>
          <cell r="P379" t="str">
            <v>결혼이민F6</v>
          </cell>
          <cell r="Q379">
            <v>46173</v>
          </cell>
          <cell r="R379">
            <v>46072</v>
          </cell>
          <cell r="S379">
            <v>46072</v>
          </cell>
          <cell r="T379">
            <v>46072</v>
          </cell>
          <cell r="V379" t="str">
            <v>형틀목공</v>
          </cell>
          <cell r="W379" t="str">
            <v>중국</v>
          </cell>
        </row>
        <row r="380">
          <cell r="A380" t="str">
            <v>주간채</v>
          </cell>
          <cell r="B380" t="str">
            <v>경기 고양 일산동구 하늘마을로7,406-606</v>
          </cell>
          <cell r="C380" t="str">
            <v>760828-5900011</v>
          </cell>
          <cell r="D380" t="str">
            <v>010-8651-3288</v>
          </cell>
          <cell r="E380">
            <v>220000</v>
          </cell>
          <cell r="F380" t="str">
            <v>남</v>
          </cell>
          <cell r="G380">
            <v>51</v>
          </cell>
          <cell r="H380" t="str">
            <v>외국인</v>
          </cell>
          <cell r="I380" t="str">
            <v>ZHU KAIQUAN</v>
          </cell>
          <cell r="J380" t="str">
            <v>형틀목공</v>
          </cell>
          <cell r="K380" t="str">
            <v>한봉만팀</v>
          </cell>
          <cell r="O380">
            <v>42180</v>
          </cell>
          <cell r="P380" t="str">
            <v>결혼이민F6</v>
          </cell>
          <cell r="Q380">
            <v>47060</v>
          </cell>
          <cell r="R380">
            <v>46072</v>
          </cell>
          <cell r="S380">
            <v>46072</v>
          </cell>
          <cell r="T380">
            <v>46072</v>
          </cell>
          <cell r="V380" t="str">
            <v>형틀목공</v>
          </cell>
          <cell r="W380" t="str">
            <v>중국</v>
          </cell>
        </row>
        <row r="381">
          <cell r="A381" t="str">
            <v>전영길</v>
          </cell>
          <cell r="B381" t="str">
            <v>경기 수원 팔달구 갓매산로 34-10,203</v>
          </cell>
          <cell r="C381" t="str">
            <v>760408-5820014</v>
          </cell>
          <cell r="E381">
            <v>220000</v>
          </cell>
          <cell r="F381" t="str">
            <v>남</v>
          </cell>
          <cell r="G381">
            <v>51</v>
          </cell>
          <cell r="H381" t="str">
            <v>외국인</v>
          </cell>
          <cell r="I381" t="str">
            <v>QUAN YONGJI</v>
          </cell>
          <cell r="J381" t="str">
            <v>형틀목공</v>
          </cell>
          <cell r="K381" t="str">
            <v>박송철팀</v>
          </cell>
          <cell r="O381">
            <v>42192</v>
          </cell>
          <cell r="P381" t="str">
            <v>재외동포F4</v>
          </cell>
          <cell r="Q381">
            <v>46289</v>
          </cell>
          <cell r="R381">
            <v>46073</v>
          </cell>
          <cell r="S381">
            <v>46073</v>
          </cell>
          <cell r="T381">
            <v>46073</v>
          </cell>
          <cell r="V381" t="str">
            <v>형틀목공</v>
          </cell>
          <cell r="W381" t="str">
            <v>중국</v>
          </cell>
        </row>
        <row r="382">
          <cell r="A382" t="str">
            <v>손광태</v>
          </cell>
          <cell r="B382" t="str">
            <v>서울 관악구 호암로20길 87,301호</v>
          </cell>
          <cell r="C382" t="str">
            <v>720914-5101799</v>
          </cell>
          <cell r="D382" t="str">
            <v>010-5863-2286</v>
          </cell>
          <cell r="E382">
            <v>220000</v>
          </cell>
          <cell r="F382" t="str">
            <v>남</v>
          </cell>
          <cell r="G382">
            <v>55</v>
          </cell>
          <cell r="H382" t="str">
            <v>외국인</v>
          </cell>
          <cell r="I382" t="str">
            <v>SUN GUANGTAI</v>
          </cell>
          <cell r="J382" t="str">
            <v>형틀목공</v>
          </cell>
          <cell r="K382" t="str">
            <v>한봉만팀</v>
          </cell>
          <cell r="O382">
            <v>45701</v>
          </cell>
          <cell r="P382" t="str">
            <v>방문취업H2</v>
          </cell>
          <cell r="Q382">
            <v>46607</v>
          </cell>
          <cell r="R382">
            <v>46083</v>
          </cell>
          <cell r="S382">
            <v>46083</v>
          </cell>
          <cell r="T382">
            <v>46083</v>
          </cell>
          <cell r="V382" t="str">
            <v>형틀목공</v>
          </cell>
          <cell r="W382" t="str">
            <v>중국</v>
          </cell>
        </row>
        <row r="383">
          <cell r="A383" t="str">
            <v>김석</v>
          </cell>
          <cell r="B383" t="str">
            <v>경기 안산 단원구 백성길 32-11,101호</v>
          </cell>
          <cell r="C383" t="str">
            <v>770228-5142391</v>
          </cell>
          <cell r="D383" t="str">
            <v>010-7495-6888</v>
          </cell>
          <cell r="E383">
            <v>220000</v>
          </cell>
          <cell r="F383" t="str">
            <v>남</v>
          </cell>
          <cell r="G383">
            <v>50</v>
          </cell>
          <cell r="H383" t="str">
            <v>외국인</v>
          </cell>
          <cell r="I383" t="str">
            <v>JIN SHI</v>
          </cell>
          <cell r="J383" t="str">
            <v>형틀목공</v>
          </cell>
          <cell r="K383" t="str">
            <v>한봉만팀</v>
          </cell>
          <cell r="O383">
            <v>41738</v>
          </cell>
          <cell r="P383" t="str">
            <v>영주F5</v>
          </cell>
          <cell r="Q383">
            <v>47643</v>
          </cell>
          <cell r="R383">
            <v>46072</v>
          </cell>
          <cell r="S383">
            <v>46072</v>
          </cell>
          <cell r="T383">
            <v>46072</v>
          </cell>
          <cell r="V383" t="str">
            <v>형틀목공</v>
          </cell>
          <cell r="W383" t="str">
            <v>중국</v>
          </cell>
        </row>
        <row r="384">
          <cell r="A384" t="str">
            <v>박군걸</v>
          </cell>
          <cell r="B384" t="str">
            <v>서울 구로구 기마산로 27길7</v>
          </cell>
          <cell r="C384" t="str">
            <v>810110-5100022</v>
          </cell>
          <cell r="D384" t="str">
            <v>010-9801-4388</v>
          </cell>
          <cell r="E384">
            <v>220000</v>
          </cell>
          <cell r="F384" t="str">
            <v>남</v>
          </cell>
          <cell r="G384">
            <v>46</v>
          </cell>
          <cell r="H384" t="str">
            <v>외국인</v>
          </cell>
          <cell r="I384" t="str">
            <v>PIAO JUNJIE</v>
          </cell>
          <cell r="J384" t="str">
            <v>형틀목공</v>
          </cell>
          <cell r="K384" t="str">
            <v>한봉만팀</v>
          </cell>
          <cell r="O384">
            <v>45421</v>
          </cell>
          <cell r="P384" t="str">
            <v>방문취업H2</v>
          </cell>
          <cell r="Q384">
            <v>46478</v>
          </cell>
          <cell r="R384">
            <v>46097</v>
          </cell>
          <cell r="S384">
            <v>46097</v>
          </cell>
          <cell r="T384">
            <v>46097</v>
          </cell>
          <cell r="V384" t="str">
            <v>형틀목공</v>
          </cell>
          <cell r="W384" t="str">
            <v>중국</v>
          </cell>
        </row>
        <row r="385">
          <cell r="A385" t="str">
            <v>차춘욱</v>
          </cell>
          <cell r="B385" t="str">
            <v>경기 고양 일산서구 일중로79번길11-5,401</v>
          </cell>
          <cell r="C385" t="str">
            <v>670420-5300999</v>
          </cell>
          <cell r="D385" t="str">
            <v>010-8325-9989</v>
          </cell>
          <cell r="E385">
            <v>220000</v>
          </cell>
          <cell r="F385" t="str">
            <v>남</v>
          </cell>
          <cell r="G385">
            <v>60</v>
          </cell>
          <cell r="H385" t="str">
            <v>외국인</v>
          </cell>
          <cell r="I385" t="str">
            <v>CHECHUNXU</v>
          </cell>
          <cell r="J385" t="str">
            <v>형틀목공</v>
          </cell>
          <cell r="K385" t="str">
            <v>한봉만팀</v>
          </cell>
          <cell r="O385">
            <v>41324</v>
          </cell>
          <cell r="P385" t="str">
            <v>거주F2</v>
          </cell>
          <cell r="Q385">
            <v>46674</v>
          </cell>
          <cell r="R385">
            <v>46118</v>
          </cell>
          <cell r="S385">
            <v>46118</v>
          </cell>
          <cell r="T385">
            <v>46118</v>
          </cell>
          <cell r="V385" t="str">
            <v>형틀목공</v>
          </cell>
          <cell r="W385" t="str">
            <v>중국</v>
          </cell>
        </row>
        <row r="386">
          <cell r="F386" t="str">
            <v/>
          </cell>
          <cell r="G386" t="str">
            <v/>
          </cell>
          <cell r="H386" t="str">
            <v/>
          </cell>
          <cell r="Q386" t="str">
            <v/>
          </cell>
        </row>
        <row r="387">
          <cell r="F387" t="str">
            <v/>
          </cell>
          <cell r="G387" t="str">
            <v/>
          </cell>
          <cell r="H387" t="str">
            <v/>
          </cell>
          <cell r="Q387" t="str">
            <v/>
          </cell>
        </row>
        <row r="388">
          <cell r="A388" t="str">
            <v>윤영송</v>
          </cell>
          <cell r="B388" t="str">
            <v>경기도 시흥시 준서로 24번지 13-403</v>
          </cell>
          <cell r="C388" t="str">
            <v>720827-5820172</v>
          </cell>
          <cell r="D388" t="str">
            <v>010-8831-8685</v>
          </cell>
          <cell r="E388" t="str">
            <v>고혈압귀가</v>
          </cell>
          <cell r="F388" t="str">
            <v>남</v>
          </cell>
          <cell r="G388">
            <v>55</v>
          </cell>
          <cell r="H388" t="str">
            <v>외국인</v>
          </cell>
          <cell r="I388" t="str">
            <v>YIN,YONGSONG</v>
          </cell>
          <cell r="J388" t="str">
            <v>형틀목공</v>
          </cell>
          <cell r="K388" t="str">
            <v>한봉만팀</v>
          </cell>
          <cell r="O388">
            <v>41781</v>
          </cell>
          <cell r="Q388">
            <v>46037</v>
          </cell>
          <cell r="R388">
            <v>46085</v>
          </cell>
          <cell r="S388">
            <v>46085</v>
          </cell>
          <cell r="T388">
            <v>46085</v>
          </cell>
          <cell r="U388" t="str">
            <v>EJ4346388</v>
          </cell>
          <cell r="V388" t="str">
            <v>형틀목공</v>
          </cell>
          <cell r="W388" t="str">
            <v>중국</v>
          </cell>
        </row>
        <row r="389">
          <cell r="A389" t="str">
            <v>우성해</v>
          </cell>
          <cell r="B389" t="str">
            <v>경기 고양시 일산서구 단현호 6번길</v>
          </cell>
          <cell r="C389" t="str">
            <v>880918-5</v>
          </cell>
          <cell r="D389" t="str">
            <v>010-2991-7888</v>
          </cell>
          <cell r="E389">
            <v>210000</v>
          </cell>
          <cell r="F389" t="str">
            <v>남</v>
          </cell>
          <cell r="G389">
            <v>39</v>
          </cell>
          <cell r="H389" t="str">
            <v>외국인</v>
          </cell>
          <cell r="I389" t="str">
            <v>YU CHENGHAI</v>
          </cell>
          <cell r="J389" t="str">
            <v>형틀목공</v>
          </cell>
          <cell r="K389" t="str">
            <v>한봉만팀</v>
          </cell>
          <cell r="O389">
            <v>44613</v>
          </cell>
          <cell r="R389">
            <v>46097</v>
          </cell>
          <cell r="S389">
            <v>46097</v>
          </cell>
          <cell r="T389">
            <v>46097</v>
          </cell>
          <cell r="U389" t="str">
            <v>ER1952281</v>
          </cell>
          <cell r="V389" t="str">
            <v>형틀목공</v>
          </cell>
          <cell r="W389" t="str">
            <v>중국</v>
          </cell>
        </row>
        <row r="390">
          <cell r="F390" t="str">
            <v/>
          </cell>
          <cell r="G390" t="str">
            <v/>
          </cell>
          <cell r="H390" t="str">
            <v/>
          </cell>
          <cell r="Q390" t="str">
            <v/>
          </cell>
        </row>
        <row r="391">
          <cell r="F391" t="str">
            <v/>
          </cell>
          <cell r="G391" t="str">
            <v/>
          </cell>
          <cell r="H391" t="str">
            <v/>
          </cell>
          <cell r="Q391" t="str">
            <v/>
          </cell>
        </row>
        <row r="392">
          <cell r="A392" t="str">
            <v>장이루</v>
          </cell>
          <cell r="F392" t="str">
            <v/>
          </cell>
          <cell r="G392" t="str">
            <v/>
          </cell>
          <cell r="H392" t="str">
            <v/>
          </cell>
          <cell r="L392" t="str">
            <v>9003-2865-7362-8</v>
          </cell>
          <cell r="M392" t="str">
            <v>새마을금고중앙회</v>
          </cell>
          <cell r="N392" t="str">
            <v>ZHANG YILIU</v>
          </cell>
          <cell r="Q392" t="str">
            <v/>
          </cell>
        </row>
        <row r="393">
          <cell r="A393" t="str">
            <v>시봉원</v>
          </cell>
          <cell r="C393" t="str">
            <v>841007-5</v>
          </cell>
          <cell r="D393" t="str">
            <v>010-6678-8222</v>
          </cell>
          <cell r="E393">
            <v>260000</v>
          </cell>
          <cell r="F393" t="str">
            <v>남</v>
          </cell>
          <cell r="G393">
            <v>43</v>
          </cell>
          <cell r="H393" t="str">
            <v>외국인</v>
          </cell>
          <cell r="I393" t="str">
            <v>SHI BENYUAN</v>
          </cell>
          <cell r="J393" t="str">
            <v>형틀목공</v>
          </cell>
          <cell r="K393" t="str">
            <v>김광일팀</v>
          </cell>
          <cell r="L393" t="str">
            <v>275-910132-50807</v>
          </cell>
          <cell r="M393" t="str">
            <v>하나은행</v>
          </cell>
          <cell r="N393" t="str">
            <v>SHI BENYUAN</v>
          </cell>
          <cell r="O393">
            <v>43610</v>
          </cell>
          <cell r="Q393" t="str">
            <v/>
          </cell>
          <cell r="S393">
            <v>45923</v>
          </cell>
          <cell r="T393">
            <v>45923</v>
          </cell>
          <cell r="U393" t="str">
            <v>EA5453658</v>
          </cell>
          <cell r="V393" t="str">
            <v>형틀목공</v>
          </cell>
          <cell r="W393" t="str">
            <v>중국</v>
          </cell>
        </row>
        <row r="394">
          <cell r="A394" t="str">
            <v>왕펑</v>
          </cell>
          <cell r="C394" t="str">
            <v>900928-5</v>
          </cell>
          <cell r="D394" t="str">
            <v>010-2382-0925</v>
          </cell>
          <cell r="E394">
            <v>260000</v>
          </cell>
          <cell r="F394" t="str">
            <v>남</v>
          </cell>
          <cell r="G394">
            <v>37</v>
          </cell>
          <cell r="H394" t="str">
            <v>외국인</v>
          </cell>
          <cell r="I394" t="str">
            <v>WANG PENG</v>
          </cell>
          <cell r="J394" t="str">
            <v>형틀목공</v>
          </cell>
          <cell r="K394" t="str">
            <v>김광일팀</v>
          </cell>
          <cell r="L394" t="str">
            <v>357-910554-94807</v>
          </cell>
          <cell r="M394" t="str">
            <v>하나은행</v>
          </cell>
          <cell r="N394" t="str">
            <v>WANG PENG</v>
          </cell>
          <cell r="O394">
            <v>43107</v>
          </cell>
          <cell r="Q394" t="str">
            <v/>
          </cell>
          <cell r="S394">
            <v>45923</v>
          </cell>
          <cell r="T394">
            <v>45923</v>
          </cell>
          <cell r="U394" t="str">
            <v>EJ5579945</v>
          </cell>
          <cell r="V394" t="str">
            <v>형틀목공</v>
          </cell>
          <cell r="W394" t="str">
            <v>중국</v>
          </cell>
        </row>
        <row r="395">
          <cell r="A395" t="str">
            <v>요량</v>
          </cell>
          <cell r="C395" t="str">
            <v>870910-5</v>
          </cell>
          <cell r="D395" t="str">
            <v>010-8096-5581</v>
          </cell>
          <cell r="E395">
            <v>260000</v>
          </cell>
          <cell r="F395" t="str">
            <v>남</v>
          </cell>
          <cell r="G395">
            <v>40</v>
          </cell>
          <cell r="H395" t="str">
            <v>외국인</v>
          </cell>
          <cell r="I395" t="str">
            <v>YAO LIANG</v>
          </cell>
          <cell r="J395" t="str">
            <v>형틀목공</v>
          </cell>
          <cell r="K395" t="str">
            <v>김광일팀</v>
          </cell>
          <cell r="O395">
            <v>44383</v>
          </cell>
          <cell r="Q395" t="str">
            <v/>
          </cell>
          <cell r="S395">
            <v>45923</v>
          </cell>
          <cell r="T395">
            <v>45923</v>
          </cell>
          <cell r="U395" t="str">
            <v>EH9339857</v>
          </cell>
          <cell r="V395" t="str">
            <v>형틀목공</v>
          </cell>
          <cell r="W395" t="str">
            <v>중국</v>
          </cell>
        </row>
        <row r="396">
          <cell r="A396" t="str">
            <v>서리강</v>
          </cell>
          <cell r="C396" t="str">
            <v>890613-5</v>
          </cell>
          <cell r="D396" t="str">
            <v>010-5805-9333</v>
          </cell>
          <cell r="E396">
            <v>260000</v>
          </cell>
          <cell r="F396" t="str">
            <v>남</v>
          </cell>
          <cell r="G396">
            <v>38</v>
          </cell>
          <cell r="H396" t="str">
            <v>외국인</v>
          </cell>
          <cell r="I396" t="str">
            <v>XU LIQIANG</v>
          </cell>
          <cell r="J396" t="str">
            <v>형틀목공</v>
          </cell>
          <cell r="K396" t="str">
            <v>김광일팀</v>
          </cell>
          <cell r="O396">
            <v>43244</v>
          </cell>
          <cell r="Q396" t="str">
            <v/>
          </cell>
          <cell r="S396">
            <v>45923</v>
          </cell>
          <cell r="T396">
            <v>45923</v>
          </cell>
          <cell r="U396" t="str">
            <v>EB9361127</v>
          </cell>
          <cell r="V396" t="str">
            <v>형틀목공</v>
          </cell>
          <cell r="W396" t="str">
            <v>중국</v>
          </cell>
        </row>
        <row r="397">
          <cell r="A397" t="str">
            <v>장위</v>
          </cell>
          <cell r="C397" t="str">
            <v>911020-5</v>
          </cell>
          <cell r="D397" t="str">
            <v>010-5929-7099</v>
          </cell>
          <cell r="E397">
            <v>260000</v>
          </cell>
          <cell r="F397" t="str">
            <v>남</v>
          </cell>
          <cell r="G397">
            <v>36</v>
          </cell>
          <cell r="H397" t="str">
            <v>외국인</v>
          </cell>
          <cell r="I397" t="str">
            <v>ZHANG WEI</v>
          </cell>
          <cell r="J397" t="str">
            <v>형틀목공</v>
          </cell>
          <cell r="K397" t="str">
            <v>김광일팀</v>
          </cell>
          <cell r="L397" t="str">
            <v>725-910504-21107</v>
          </cell>
          <cell r="M397" t="str">
            <v>하나은행</v>
          </cell>
          <cell r="N397" t="str">
            <v>ZHANG WEI</v>
          </cell>
          <cell r="Q397" t="str">
            <v/>
          </cell>
          <cell r="S397">
            <v>45923</v>
          </cell>
          <cell r="T397">
            <v>45923</v>
          </cell>
          <cell r="U397" t="str">
            <v>EK5614319</v>
          </cell>
          <cell r="V397" t="str">
            <v>형틀목공</v>
          </cell>
          <cell r="W397" t="str">
            <v>중국</v>
          </cell>
        </row>
        <row r="398">
          <cell r="A398" t="str">
            <v>손가곤</v>
          </cell>
          <cell r="C398" t="str">
            <v>860815-5</v>
          </cell>
          <cell r="D398" t="str">
            <v>010-2175-2999</v>
          </cell>
          <cell r="E398">
            <v>260000</v>
          </cell>
          <cell r="F398" t="str">
            <v>남</v>
          </cell>
          <cell r="G398">
            <v>41</v>
          </cell>
          <cell r="H398" t="str">
            <v>외국인</v>
          </cell>
          <cell r="I398" t="str">
            <v>SUN JIAKUN</v>
          </cell>
          <cell r="J398" t="str">
            <v>형틀목공</v>
          </cell>
          <cell r="K398" t="str">
            <v>김광일팀</v>
          </cell>
          <cell r="O398">
            <v>43201</v>
          </cell>
          <cell r="P398">
            <v>44383</v>
          </cell>
          <cell r="Q398" t="str">
            <v/>
          </cell>
          <cell r="S398">
            <v>45923</v>
          </cell>
          <cell r="T398">
            <v>45923</v>
          </cell>
          <cell r="U398" t="str">
            <v>E90357213</v>
          </cell>
          <cell r="V398" t="str">
            <v>형틀목공</v>
          </cell>
          <cell r="W398" t="str">
            <v>중국</v>
          </cell>
        </row>
        <row r="399">
          <cell r="A399" t="str">
            <v>왕멍</v>
          </cell>
          <cell r="C399" t="str">
            <v>910405-5</v>
          </cell>
          <cell r="D399" t="str">
            <v>010-6884-5333</v>
          </cell>
          <cell r="E399">
            <v>260000</v>
          </cell>
          <cell r="F399" t="str">
            <v>남</v>
          </cell>
          <cell r="G399">
            <v>36</v>
          </cell>
          <cell r="H399" t="str">
            <v>외국인</v>
          </cell>
          <cell r="I399" t="str">
            <v>WANG MENG</v>
          </cell>
          <cell r="J399" t="str">
            <v>형틀목공</v>
          </cell>
          <cell r="K399" t="str">
            <v>김광일팀</v>
          </cell>
          <cell r="L399" t="str">
            <v>357-910643-59307</v>
          </cell>
          <cell r="M399" t="str">
            <v>하나은행</v>
          </cell>
          <cell r="N399" t="str">
            <v>WANG MENG</v>
          </cell>
          <cell r="O399">
            <v>43629</v>
          </cell>
          <cell r="Q399" t="str">
            <v/>
          </cell>
          <cell r="R399">
            <v>45670</v>
          </cell>
          <cell r="S399">
            <v>45670</v>
          </cell>
          <cell r="T399">
            <v>45670</v>
          </cell>
          <cell r="U399" t="str">
            <v>EE3233862</v>
          </cell>
          <cell r="V399" t="str">
            <v>형틀목공</v>
          </cell>
          <cell r="W399" t="str">
            <v>중국</v>
          </cell>
        </row>
        <row r="400">
          <cell r="A400" t="str">
            <v>왕한</v>
          </cell>
          <cell r="C400" t="str">
            <v>920205-5</v>
          </cell>
          <cell r="D400" t="str">
            <v>010-5707-3305</v>
          </cell>
          <cell r="E400">
            <v>260000</v>
          </cell>
          <cell r="F400" t="str">
            <v>남</v>
          </cell>
          <cell r="G400">
            <v>35</v>
          </cell>
          <cell r="H400" t="str">
            <v>외국인</v>
          </cell>
          <cell r="I400" t="str">
            <v>WANG HAN</v>
          </cell>
          <cell r="J400" t="str">
            <v>형틀목공</v>
          </cell>
          <cell r="K400" t="str">
            <v>김광일팀</v>
          </cell>
          <cell r="O400">
            <v>44383</v>
          </cell>
          <cell r="Q400" t="str">
            <v/>
          </cell>
          <cell r="R400">
            <v>45670</v>
          </cell>
          <cell r="S400">
            <v>45670</v>
          </cell>
          <cell r="T400">
            <v>45670</v>
          </cell>
          <cell r="U400" t="str">
            <v>E73133365</v>
          </cell>
          <cell r="V400" t="str">
            <v>형틀목공</v>
          </cell>
          <cell r="W400" t="str">
            <v>중국</v>
          </cell>
        </row>
        <row r="401">
          <cell r="A401" t="str">
            <v>장비상</v>
          </cell>
          <cell r="C401" t="str">
            <v>890606-5</v>
          </cell>
          <cell r="D401" t="str">
            <v>010-7315-4792</v>
          </cell>
          <cell r="E401">
            <v>260000</v>
          </cell>
          <cell r="F401" t="str">
            <v>남</v>
          </cell>
          <cell r="G401">
            <v>38</v>
          </cell>
          <cell r="H401" t="str">
            <v>외국인</v>
          </cell>
          <cell r="I401" t="str">
            <v>ZHANG FEIXIANG</v>
          </cell>
          <cell r="J401" t="str">
            <v>형틀목공</v>
          </cell>
          <cell r="K401" t="str">
            <v>김광일팀</v>
          </cell>
          <cell r="O401">
            <v>43699</v>
          </cell>
          <cell r="Q401" t="str">
            <v/>
          </cell>
          <cell r="R401">
            <v>45670</v>
          </cell>
          <cell r="S401">
            <v>45670</v>
          </cell>
          <cell r="T401">
            <v>45670</v>
          </cell>
          <cell r="U401" t="str">
            <v>EN0746842</v>
          </cell>
          <cell r="V401" t="str">
            <v>형틀목공</v>
          </cell>
          <cell r="W401" t="str">
            <v>중국</v>
          </cell>
        </row>
        <row r="402">
          <cell r="A402" t="str">
            <v>양민</v>
          </cell>
          <cell r="C402" t="str">
            <v>891011-5</v>
          </cell>
          <cell r="D402" t="str">
            <v>010-6712-8910</v>
          </cell>
          <cell r="E402">
            <v>260000</v>
          </cell>
          <cell r="F402" t="str">
            <v>남</v>
          </cell>
          <cell r="G402">
            <v>38</v>
          </cell>
          <cell r="H402" t="str">
            <v>외국인</v>
          </cell>
          <cell r="I402" t="str">
            <v>LIANG BIN</v>
          </cell>
          <cell r="J402" t="str">
            <v>형틀목공</v>
          </cell>
          <cell r="K402" t="str">
            <v>한봉만팀</v>
          </cell>
          <cell r="O402">
            <v>44861</v>
          </cell>
          <cell r="R402">
            <v>46006</v>
          </cell>
          <cell r="S402">
            <v>46006</v>
          </cell>
          <cell r="T402">
            <v>46006</v>
          </cell>
          <cell r="U402" t="str">
            <v>EK2901219</v>
          </cell>
          <cell r="V402" t="str">
            <v>형틀목공</v>
          </cell>
          <cell r="W402" t="str">
            <v>중국</v>
          </cell>
        </row>
        <row r="403">
          <cell r="A403" t="str">
            <v>오영보</v>
          </cell>
          <cell r="C403" t="str">
            <v>730609-5</v>
          </cell>
          <cell r="D403" t="str">
            <v>010-8095-6881</v>
          </cell>
          <cell r="E403">
            <v>260000</v>
          </cell>
          <cell r="F403" t="str">
            <v>남</v>
          </cell>
          <cell r="G403">
            <v>54</v>
          </cell>
          <cell r="H403" t="str">
            <v>외국인</v>
          </cell>
          <cell r="I403" t="str">
            <v>YAO YONGBAO</v>
          </cell>
          <cell r="J403" t="str">
            <v>형틀목공</v>
          </cell>
          <cell r="K403" t="str">
            <v>한봉만팀</v>
          </cell>
          <cell r="O403">
            <v>44405</v>
          </cell>
          <cell r="R403">
            <v>46006</v>
          </cell>
          <cell r="S403">
            <v>46006</v>
          </cell>
          <cell r="T403">
            <v>46006</v>
          </cell>
          <cell r="U403" t="str">
            <v>EJ4153113</v>
          </cell>
          <cell r="V403" t="str">
            <v>형틀목공</v>
          </cell>
          <cell r="W403" t="str">
            <v>중국</v>
          </cell>
        </row>
        <row r="404">
          <cell r="A404" t="str">
            <v>시노원</v>
          </cell>
          <cell r="C404" t="str">
            <v>900905-5</v>
          </cell>
          <cell r="D404" t="str">
            <v>010-2892-5859</v>
          </cell>
          <cell r="E404">
            <v>260000</v>
          </cell>
          <cell r="F404" t="str">
            <v>남</v>
          </cell>
          <cell r="G404">
            <v>37</v>
          </cell>
          <cell r="H404" t="str">
            <v>외국인</v>
          </cell>
          <cell r="I404" t="str">
            <v>SHI LUBEN</v>
          </cell>
          <cell r="J404" t="str">
            <v>형틀목공</v>
          </cell>
          <cell r="K404" t="str">
            <v>한봉만팀</v>
          </cell>
          <cell r="O404">
            <v>45981</v>
          </cell>
          <cell r="Q404" t="str">
            <v/>
          </cell>
          <cell r="R404">
            <v>46048</v>
          </cell>
          <cell r="S404">
            <v>46048</v>
          </cell>
          <cell r="T404">
            <v>46048</v>
          </cell>
          <cell r="U404" t="str">
            <v>EL3359908</v>
          </cell>
          <cell r="V404" t="str">
            <v>형틀목공</v>
          </cell>
          <cell r="W404" t="str">
            <v>중국</v>
          </cell>
        </row>
        <row r="405">
          <cell r="A405" t="str">
            <v>방명</v>
          </cell>
          <cell r="B405" t="str">
            <v>정왕돈 1537-1</v>
          </cell>
          <cell r="C405" t="str">
            <v>890807-5</v>
          </cell>
          <cell r="D405" t="str">
            <v>010-5888-8857</v>
          </cell>
          <cell r="E405">
            <v>260000</v>
          </cell>
          <cell r="F405" t="str">
            <v>남</v>
          </cell>
          <cell r="G405">
            <v>38</v>
          </cell>
          <cell r="H405" t="str">
            <v>외국인</v>
          </cell>
          <cell r="I405" t="str">
            <v>FANG MING</v>
          </cell>
          <cell r="J405" t="str">
            <v>형틀목공</v>
          </cell>
          <cell r="K405" t="str">
            <v>한봉만팀</v>
          </cell>
          <cell r="O405">
            <v>43477</v>
          </cell>
          <cell r="R405">
            <v>46053</v>
          </cell>
          <cell r="S405">
            <v>46053</v>
          </cell>
          <cell r="T405">
            <v>46053</v>
          </cell>
          <cell r="U405" t="str">
            <v>EF5945326</v>
          </cell>
          <cell r="V405" t="str">
            <v>형틀목공</v>
          </cell>
          <cell r="W405" t="str">
            <v>중국</v>
          </cell>
        </row>
        <row r="406">
          <cell r="A406" t="str">
            <v>이동성</v>
          </cell>
          <cell r="B406" t="str">
            <v>정왕돈 1537-1</v>
          </cell>
          <cell r="C406" t="str">
            <v>890812-5</v>
          </cell>
          <cell r="D406" t="str">
            <v>010-7460-3894</v>
          </cell>
          <cell r="E406">
            <v>260000</v>
          </cell>
          <cell r="F406" t="str">
            <v>남</v>
          </cell>
          <cell r="G406">
            <v>38</v>
          </cell>
          <cell r="H406" t="str">
            <v>외국인</v>
          </cell>
          <cell r="I406" t="str">
            <v>LI DONGXING</v>
          </cell>
          <cell r="J406" t="str">
            <v>형틀목공</v>
          </cell>
          <cell r="K406" t="str">
            <v>한봉만팀</v>
          </cell>
          <cell r="O406">
            <v>44630</v>
          </cell>
          <cell r="R406">
            <v>46053</v>
          </cell>
          <cell r="S406">
            <v>46053</v>
          </cell>
          <cell r="T406">
            <v>46053</v>
          </cell>
          <cell r="U406" t="str">
            <v>E74605588</v>
          </cell>
          <cell r="V406" t="str">
            <v>형틀목공</v>
          </cell>
          <cell r="W406" t="str">
            <v>중국</v>
          </cell>
        </row>
        <row r="407">
          <cell r="A407" t="str">
            <v>왕백강</v>
          </cell>
          <cell r="B407" t="str">
            <v>정왕돈 1556-5</v>
          </cell>
          <cell r="C407" t="str">
            <v>810720-5</v>
          </cell>
          <cell r="D407" t="str">
            <v>010-3439-8966</v>
          </cell>
          <cell r="E407">
            <v>260000</v>
          </cell>
          <cell r="F407" t="str">
            <v>남</v>
          </cell>
          <cell r="G407">
            <v>46</v>
          </cell>
          <cell r="H407" t="str">
            <v>외국인</v>
          </cell>
          <cell r="I407" t="str">
            <v>WANG BAICHAO</v>
          </cell>
          <cell r="J407" t="str">
            <v>형틀목공</v>
          </cell>
          <cell r="K407" t="str">
            <v>한봉만팀</v>
          </cell>
          <cell r="O407">
            <v>42821</v>
          </cell>
          <cell r="R407">
            <v>46053</v>
          </cell>
          <cell r="S407">
            <v>46053</v>
          </cell>
          <cell r="T407">
            <v>46053</v>
          </cell>
          <cell r="U407" t="str">
            <v>EL1488838</v>
          </cell>
          <cell r="V407" t="str">
            <v>형틀목공</v>
          </cell>
          <cell r="W407" t="str">
            <v>중국</v>
          </cell>
        </row>
        <row r="408">
          <cell r="A408" t="str">
            <v>왕이군</v>
          </cell>
          <cell r="B408" t="str">
            <v>정왕돈 1556-5</v>
          </cell>
          <cell r="C408" t="str">
            <v>820120-5</v>
          </cell>
          <cell r="D408" t="str">
            <v>010-9761-9788</v>
          </cell>
          <cell r="E408">
            <v>260000</v>
          </cell>
          <cell r="F408" t="str">
            <v>남</v>
          </cell>
          <cell r="G408">
            <v>45</v>
          </cell>
          <cell r="H408" t="str">
            <v>외국인</v>
          </cell>
          <cell r="I408" t="str">
            <v>WANG LIJUN</v>
          </cell>
          <cell r="J408" t="str">
            <v>형틀목공</v>
          </cell>
          <cell r="K408" t="str">
            <v>한봉만팀</v>
          </cell>
          <cell r="O408">
            <v>44533</v>
          </cell>
          <cell r="R408">
            <v>46053</v>
          </cell>
          <cell r="S408">
            <v>46053</v>
          </cell>
          <cell r="T408">
            <v>46053</v>
          </cell>
          <cell r="U408" t="str">
            <v>EM2915054</v>
          </cell>
          <cell r="V408" t="str">
            <v>형틀목공</v>
          </cell>
          <cell r="W408" t="str">
            <v>중국</v>
          </cell>
        </row>
        <row r="409">
          <cell r="A409" t="str">
            <v>왕걸</v>
          </cell>
          <cell r="B409" t="str">
            <v>학익동 306-89</v>
          </cell>
          <cell r="C409" t="str">
            <v>881227-5</v>
          </cell>
          <cell r="D409" t="str">
            <v>010-3461-3111</v>
          </cell>
          <cell r="E409">
            <v>260000</v>
          </cell>
          <cell r="F409" t="str">
            <v>남</v>
          </cell>
          <cell r="G409">
            <v>39</v>
          </cell>
          <cell r="H409" t="str">
            <v>외국인</v>
          </cell>
          <cell r="I409" t="str">
            <v>WANG JIE</v>
          </cell>
          <cell r="J409" t="str">
            <v>형틀목공</v>
          </cell>
          <cell r="K409" t="str">
            <v>김광일팀</v>
          </cell>
          <cell r="O409">
            <v>43766</v>
          </cell>
          <cell r="R409">
            <v>46073</v>
          </cell>
          <cell r="S409">
            <v>46073</v>
          </cell>
          <cell r="T409">
            <v>46073</v>
          </cell>
          <cell r="U409" t="str">
            <v>EK2155946</v>
          </cell>
          <cell r="V409" t="str">
            <v>형틀목공</v>
          </cell>
          <cell r="W409" t="str">
            <v>중국</v>
          </cell>
        </row>
        <row r="410">
          <cell r="A410" t="str">
            <v>봉중기</v>
          </cell>
          <cell r="B410" t="str">
            <v>학익동 306-89</v>
          </cell>
          <cell r="C410" t="str">
            <v>830808-5</v>
          </cell>
          <cell r="D410" t="str">
            <v>010-6104-5168</v>
          </cell>
          <cell r="E410">
            <v>260000</v>
          </cell>
          <cell r="F410" t="str">
            <v>남</v>
          </cell>
          <cell r="G410">
            <v>44</v>
          </cell>
          <cell r="H410" t="str">
            <v>외국인</v>
          </cell>
          <cell r="I410" t="str">
            <v>FENG ZHONGXI</v>
          </cell>
          <cell r="J410" t="str">
            <v>형틀목공</v>
          </cell>
          <cell r="K410" t="str">
            <v>김광일팀</v>
          </cell>
          <cell r="O410">
            <v>45692</v>
          </cell>
          <cell r="R410">
            <v>46073</v>
          </cell>
          <cell r="S410">
            <v>46073</v>
          </cell>
          <cell r="T410">
            <v>46073</v>
          </cell>
          <cell r="U410" t="str">
            <v>EN6439987</v>
          </cell>
          <cell r="V410" t="str">
            <v>형틀목공</v>
          </cell>
          <cell r="W410" t="str">
            <v>중국</v>
          </cell>
        </row>
        <row r="411">
          <cell r="A411" t="str">
            <v>주파</v>
          </cell>
          <cell r="B411" t="str">
            <v>학익동 306-89</v>
          </cell>
          <cell r="C411" t="str">
            <v>830520-5</v>
          </cell>
          <cell r="D411" t="str">
            <v>010-6309-6697</v>
          </cell>
          <cell r="E411">
            <v>260000</v>
          </cell>
          <cell r="F411" t="str">
            <v>남</v>
          </cell>
          <cell r="G411">
            <v>44</v>
          </cell>
          <cell r="H411" t="str">
            <v>외국인</v>
          </cell>
          <cell r="I411" t="str">
            <v>ZHU BO</v>
          </cell>
          <cell r="J411" t="str">
            <v>형틀목공</v>
          </cell>
          <cell r="K411" t="str">
            <v>김광일팀</v>
          </cell>
          <cell r="O411">
            <v>42836</v>
          </cell>
          <cell r="R411">
            <v>46073</v>
          </cell>
          <cell r="S411">
            <v>46073</v>
          </cell>
          <cell r="T411">
            <v>46073</v>
          </cell>
          <cell r="U411" t="str">
            <v>EJ5394737</v>
          </cell>
          <cell r="V411" t="str">
            <v>형틀목공</v>
          </cell>
          <cell r="W411" t="str">
            <v>중국</v>
          </cell>
        </row>
        <row r="412">
          <cell r="A412" t="str">
            <v>고군천</v>
          </cell>
          <cell r="B412" t="str">
            <v>학익동 306-89</v>
          </cell>
          <cell r="C412" t="str">
            <v>730405-5</v>
          </cell>
          <cell r="D412" t="str">
            <v>010-7543-9188</v>
          </cell>
          <cell r="E412">
            <v>260000</v>
          </cell>
          <cell r="F412" t="str">
            <v>남</v>
          </cell>
          <cell r="G412">
            <v>54</v>
          </cell>
          <cell r="H412" t="str">
            <v>외국인</v>
          </cell>
          <cell r="I412" t="str">
            <v>GAO JUNCHEN</v>
          </cell>
          <cell r="J412" t="str">
            <v>형틀목공</v>
          </cell>
          <cell r="K412" t="str">
            <v>김광일팀</v>
          </cell>
          <cell r="O412">
            <v>43303</v>
          </cell>
          <cell r="R412">
            <v>46073</v>
          </cell>
          <cell r="S412">
            <v>46073</v>
          </cell>
          <cell r="T412">
            <v>46073</v>
          </cell>
          <cell r="U412" t="str">
            <v>EB4076987</v>
          </cell>
          <cell r="V412" t="str">
            <v>형틀목공</v>
          </cell>
          <cell r="W412" t="str">
            <v>중국</v>
          </cell>
        </row>
        <row r="413">
          <cell r="A413" t="str">
            <v>양이권</v>
          </cell>
          <cell r="B413" t="str">
            <v>학익동 306-89</v>
          </cell>
          <cell r="C413" t="str">
            <v>710810-5</v>
          </cell>
          <cell r="D413" t="str">
            <v>010-9216-8870</v>
          </cell>
          <cell r="E413">
            <v>260000</v>
          </cell>
          <cell r="F413" t="str">
            <v>남</v>
          </cell>
          <cell r="G413">
            <v>56</v>
          </cell>
          <cell r="H413" t="str">
            <v>외국인</v>
          </cell>
          <cell r="I413" t="str">
            <v>YANG LIQUAN</v>
          </cell>
          <cell r="J413" t="str">
            <v>형틀목공</v>
          </cell>
          <cell r="K413" t="str">
            <v>김광일팀</v>
          </cell>
          <cell r="O413">
            <v>43579</v>
          </cell>
          <cell r="R413">
            <v>46073</v>
          </cell>
          <cell r="S413">
            <v>46073</v>
          </cell>
          <cell r="T413">
            <v>46073</v>
          </cell>
          <cell r="U413" t="str">
            <v>E31283792</v>
          </cell>
          <cell r="V413" t="str">
            <v>형틀목공</v>
          </cell>
          <cell r="W413" t="str">
            <v>중국</v>
          </cell>
        </row>
        <row r="414">
          <cell r="A414" t="str">
            <v>구춘군</v>
          </cell>
          <cell r="B414" t="str">
            <v>경기 시흥시 정왕동 1533-17</v>
          </cell>
          <cell r="C414" t="str">
            <v>900626-5</v>
          </cell>
          <cell r="D414" t="str">
            <v>010-8307-0222</v>
          </cell>
          <cell r="E414">
            <v>260000</v>
          </cell>
          <cell r="F414" t="str">
            <v>남</v>
          </cell>
          <cell r="G414">
            <v>37</v>
          </cell>
          <cell r="H414" t="str">
            <v>외국인</v>
          </cell>
          <cell r="I414" t="str">
            <v>GU CHAOJUN</v>
          </cell>
          <cell r="J414" t="str">
            <v>형틀목공</v>
          </cell>
          <cell r="K414" t="str">
            <v>김광일팀</v>
          </cell>
          <cell r="L414" t="str">
            <v>135-910665-65607</v>
          </cell>
          <cell r="M414" t="str">
            <v>하나은행</v>
          </cell>
          <cell r="N414" t="str">
            <v>GU CHAOJUN</v>
          </cell>
          <cell r="O414">
            <v>43661</v>
          </cell>
          <cell r="R414">
            <v>46077</v>
          </cell>
          <cell r="S414">
            <v>46077</v>
          </cell>
          <cell r="T414">
            <v>46077</v>
          </cell>
          <cell r="U414" t="str">
            <v>EM2902140</v>
          </cell>
          <cell r="V414" t="str">
            <v>형틀목공</v>
          </cell>
          <cell r="W414" t="str">
            <v>중국</v>
          </cell>
        </row>
        <row r="415">
          <cell r="A415" t="str">
            <v>이해량</v>
          </cell>
          <cell r="B415" t="str">
            <v>경기 시흥시 정왕동 1534-5</v>
          </cell>
          <cell r="C415" t="str">
            <v>841005-5</v>
          </cell>
          <cell r="D415" t="str">
            <v>010-8267-6168</v>
          </cell>
          <cell r="E415">
            <v>260000</v>
          </cell>
          <cell r="F415" t="str">
            <v>남</v>
          </cell>
          <cell r="G415">
            <v>43</v>
          </cell>
          <cell r="H415" t="str">
            <v>외국인</v>
          </cell>
          <cell r="I415" t="str">
            <v>LI HAILIANG</v>
          </cell>
          <cell r="J415" t="str">
            <v>형틀목공</v>
          </cell>
          <cell r="K415" t="str">
            <v>김광일팀</v>
          </cell>
          <cell r="L415" t="str">
            <v>473-910403-09207</v>
          </cell>
          <cell r="M415" t="str">
            <v>하나은행</v>
          </cell>
          <cell r="N415" t="str">
            <v>LI HAILIANG</v>
          </cell>
          <cell r="O415">
            <v>42199</v>
          </cell>
          <cell r="R415">
            <v>46077</v>
          </cell>
          <cell r="S415">
            <v>46077</v>
          </cell>
          <cell r="T415">
            <v>46077</v>
          </cell>
          <cell r="U415" t="str">
            <v>EQ2777059</v>
          </cell>
          <cell r="V415" t="str">
            <v>형틀목공</v>
          </cell>
          <cell r="W415" t="str">
            <v>중국</v>
          </cell>
        </row>
        <row r="416">
          <cell r="A416" t="str">
            <v>시파</v>
          </cell>
          <cell r="B416" t="str">
            <v>서울 구로구 구로동 15</v>
          </cell>
          <cell r="C416" t="str">
            <v>830213-5</v>
          </cell>
          <cell r="D416" t="str">
            <v>010-3221-5626</v>
          </cell>
          <cell r="E416">
            <v>260000</v>
          </cell>
          <cell r="F416" t="str">
            <v>남</v>
          </cell>
          <cell r="G416">
            <v>44</v>
          </cell>
          <cell r="H416" t="str">
            <v>외국인</v>
          </cell>
          <cell r="I416" t="str">
            <v>SHIBO</v>
          </cell>
          <cell r="J416" t="str">
            <v>형틀목공</v>
          </cell>
          <cell r="K416" t="str">
            <v>김광일팀</v>
          </cell>
          <cell r="L416" t="str">
            <v>217-910704-87107</v>
          </cell>
          <cell r="M416" t="str">
            <v>하나은행</v>
          </cell>
          <cell r="N416" t="str">
            <v>SHIBO</v>
          </cell>
          <cell r="O416">
            <v>43627</v>
          </cell>
          <cell r="R416">
            <v>46107</v>
          </cell>
          <cell r="S416">
            <v>46107</v>
          </cell>
          <cell r="T416">
            <v>46107</v>
          </cell>
          <cell r="U416" t="str">
            <v>EB8989153</v>
          </cell>
          <cell r="V416" t="str">
            <v>형틀목공</v>
          </cell>
          <cell r="W416" t="str">
            <v>중국</v>
          </cell>
        </row>
        <row r="417">
          <cell r="A417" t="str">
            <v>윤장군</v>
          </cell>
          <cell r="B417" t="str">
            <v>서울 구로구 구로동 15</v>
          </cell>
          <cell r="C417" t="str">
            <v>731102-5</v>
          </cell>
          <cell r="D417" t="str">
            <v>010-4423-1666</v>
          </cell>
          <cell r="E417">
            <v>260000</v>
          </cell>
          <cell r="F417" t="str">
            <v>남</v>
          </cell>
          <cell r="G417">
            <v>54</v>
          </cell>
          <cell r="H417" t="str">
            <v>외국인</v>
          </cell>
          <cell r="I417" t="str">
            <v>YINCHUANJUN</v>
          </cell>
          <cell r="J417" t="str">
            <v>형틀목공</v>
          </cell>
          <cell r="K417" t="str">
            <v>김광일팀</v>
          </cell>
          <cell r="L417" t="str">
            <v>357-910611-35607</v>
          </cell>
          <cell r="M417" t="str">
            <v>하나은행</v>
          </cell>
          <cell r="N417" t="str">
            <v>YIN CHUANJUN</v>
          </cell>
          <cell r="O417">
            <v>44383</v>
          </cell>
          <cell r="R417">
            <v>46107</v>
          </cell>
          <cell r="S417">
            <v>46107</v>
          </cell>
          <cell r="T417">
            <v>46107</v>
          </cell>
          <cell r="U417" t="str">
            <v>E89995582</v>
          </cell>
          <cell r="V417" t="str">
            <v>형틀목공</v>
          </cell>
          <cell r="W417" t="str">
            <v>중국</v>
          </cell>
        </row>
        <row r="418">
          <cell r="A418" t="str">
            <v>동이봉</v>
          </cell>
          <cell r="B418" t="str">
            <v>원주시 명륜동 821-4</v>
          </cell>
          <cell r="C418" t="str">
            <v>780702-5</v>
          </cell>
          <cell r="D418" t="str">
            <v>010-7315-5095</v>
          </cell>
          <cell r="E418">
            <v>260000</v>
          </cell>
          <cell r="F418" t="str">
            <v>남</v>
          </cell>
          <cell r="G418">
            <v>49</v>
          </cell>
          <cell r="H418" t="str">
            <v>외국인</v>
          </cell>
          <cell r="I418" t="str">
            <v>DONG YIFENG</v>
          </cell>
          <cell r="J418" t="str">
            <v>형틀목공</v>
          </cell>
          <cell r="K418" t="str">
            <v>김광일팀</v>
          </cell>
          <cell r="L418" t="str">
            <v>135-910734-91807</v>
          </cell>
          <cell r="M418" t="str">
            <v>하나은행</v>
          </cell>
          <cell r="N418" t="str">
            <v>DONG YIFENG</v>
          </cell>
          <cell r="O418">
            <v>43209</v>
          </cell>
          <cell r="R418">
            <v>46118</v>
          </cell>
          <cell r="S418">
            <v>46118</v>
          </cell>
          <cell r="T418">
            <v>46118</v>
          </cell>
          <cell r="U418" t="str">
            <v>EN0455355</v>
          </cell>
          <cell r="V418" t="str">
            <v>형틀목공</v>
          </cell>
          <cell r="W418" t="str">
            <v>중국</v>
          </cell>
        </row>
        <row r="419">
          <cell r="A419" t="str">
            <v>원구증</v>
          </cell>
          <cell r="B419" t="str">
            <v>경기 시흥시 정왕동 1533-17</v>
          </cell>
          <cell r="C419" t="str">
            <v>811123-5</v>
          </cell>
          <cell r="D419" t="str">
            <v>010-6898-1711</v>
          </cell>
          <cell r="E419">
            <v>260000</v>
          </cell>
          <cell r="F419" t="str">
            <v>남</v>
          </cell>
          <cell r="G419">
            <v>46</v>
          </cell>
          <cell r="H419" t="str">
            <v>외국인</v>
          </cell>
          <cell r="I419" t="str">
            <v>YAN JIUZHONG</v>
          </cell>
          <cell r="J419" t="str">
            <v>형틀목공</v>
          </cell>
          <cell r="K419" t="str">
            <v>김광일팀</v>
          </cell>
          <cell r="O419">
            <v>43183</v>
          </cell>
          <cell r="R419">
            <v>46077</v>
          </cell>
          <cell r="S419">
            <v>46077</v>
          </cell>
          <cell r="T419">
            <v>46077</v>
          </cell>
          <cell r="U419" t="str">
            <v>EA2909479</v>
          </cell>
          <cell r="V419" t="str">
            <v>형틀목공</v>
          </cell>
          <cell r="W419" t="str">
            <v>중국</v>
          </cell>
        </row>
        <row r="420">
          <cell r="A420" t="str">
            <v>우성해</v>
          </cell>
          <cell r="B420" t="str">
            <v>경기 고양시 일산서구 단현호 6번길</v>
          </cell>
          <cell r="C420" t="str">
            <v>880918-5</v>
          </cell>
          <cell r="D420" t="str">
            <v>010-2991-7888</v>
          </cell>
          <cell r="E420">
            <v>260000</v>
          </cell>
          <cell r="F420" t="str">
            <v>남</v>
          </cell>
          <cell r="G420">
            <v>39</v>
          </cell>
          <cell r="H420" t="str">
            <v>외국인</v>
          </cell>
          <cell r="I420" t="str">
            <v>YU CHENGHAI</v>
          </cell>
          <cell r="J420" t="str">
            <v>형틀목공</v>
          </cell>
          <cell r="K420" t="str">
            <v>한봉만팀</v>
          </cell>
          <cell r="O420">
            <v>44613</v>
          </cell>
          <cell r="R420">
            <v>46097</v>
          </cell>
          <cell r="S420">
            <v>46097</v>
          </cell>
          <cell r="T420">
            <v>46097</v>
          </cell>
          <cell r="U420" t="str">
            <v>ER1952281</v>
          </cell>
          <cell r="V420" t="str">
            <v>형틀목공</v>
          </cell>
          <cell r="W420" t="str">
            <v>중국</v>
          </cell>
        </row>
        <row r="421">
          <cell r="A421" t="str">
            <v>당경용</v>
          </cell>
          <cell r="B421" t="str">
            <v>원주시 명륜동 821</v>
          </cell>
          <cell r="C421" t="str">
            <v>870815-5</v>
          </cell>
          <cell r="D421" t="str">
            <v>010-5406-6898</v>
          </cell>
          <cell r="E421">
            <v>260000</v>
          </cell>
          <cell r="F421" t="str">
            <v>남</v>
          </cell>
          <cell r="G421">
            <v>40</v>
          </cell>
          <cell r="H421" t="str">
            <v>외국인</v>
          </cell>
          <cell r="I421" t="str">
            <v>TANGQINGLONG</v>
          </cell>
          <cell r="J421" t="str">
            <v>형틀목공</v>
          </cell>
          <cell r="K421" t="str">
            <v>김광일팀</v>
          </cell>
          <cell r="O421">
            <v>43262</v>
          </cell>
          <cell r="R421">
            <v>46106</v>
          </cell>
          <cell r="S421">
            <v>46106</v>
          </cell>
          <cell r="T421">
            <v>46106</v>
          </cell>
          <cell r="U421" t="str">
            <v>E59274730</v>
          </cell>
          <cell r="V421" t="str">
            <v>형틀목공</v>
          </cell>
          <cell r="W421" t="str">
            <v>중국</v>
          </cell>
        </row>
        <row r="422">
          <cell r="A422" t="str">
            <v>동강</v>
          </cell>
          <cell r="B422" t="str">
            <v>경기 시흥 정왕동 왕천로414번길22</v>
          </cell>
          <cell r="C422" t="str">
            <v>900128-5</v>
          </cell>
          <cell r="D422" t="str">
            <v>010-7648-2884</v>
          </cell>
          <cell r="E422">
            <v>260000</v>
          </cell>
          <cell r="F422" t="str">
            <v>남</v>
          </cell>
          <cell r="G422">
            <v>37</v>
          </cell>
          <cell r="H422" t="str">
            <v>외국인</v>
          </cell>
          <cell r="I422" t="str">
            <v>TONGQIANG</v>
          </cell>
          <cell r="J422" t="str">
            <v>형틀목공</v>
          </cell>
          <cell r="K422" t="str">
            <v>김광일팀</v>
          </cell>
          <cell r="O422">
            <v>43290</v>
          </cell>
          <cell r="R422">
            <v>46106</v>
          </cell>
          <cell r="S422">
            <v>46106</v>
          </cell>
          <cell r="T422">
            <v>46106</v>
          </cell>
          <cell r="U422" t="str">
            <v>EB1182128</v>
          </cell>
          <cell r="V422" t="str">
            <v>형틀목공</v>
          </cell>
          <cell r="W422" t="str">
            <v>중국</v>
          </cell>
        </row>
        <row r="423">
          <cell r="A423" t="str">
            <v>양지강</v>
          </cell>
          <cell r="B423" t="str">
            <v>경기 시흥 정왕동 1530-4</v>
          </cell>
          <cell r="C423" t="str">
            <v>780210-5</v>
          </cell>
          <cell r="D423" t="str">
            <v>010-5176-9222</v>
          </cell>
          <cell r="E423">
            <v>260000</v>
          </cell>
          <cell r="F423" t="str">
            <v>남</v>
          </cell>
          <cell r="G423">
            <v>49</v>
          </cell>
          <cell r="H423" t="str">
            <v>외국인</v>
          </cell>
          <cell r="I423" t="str">
            <v>LIANGZHIGANG</v>
          </cell>
          <cell r="J423" t="str">
            <v>형틀목공</v>
          </cell>
          <cell r="K423" t="str">
            <v>김광일팀</v>
          </cell>
          <cell r="O423">
            <v>42634</v>
          </cell>
          <cell r="R423">
            <v>46106</v>
          </cell>
          <cell r="S423">
            <v>46106</v>
          </cell>
          <cell r="T423">
            <v>46106</v>
          </cell>
          <cell r="U423" t="str">
            <v>EL0515949</v>
          </cell>
          <cell r="V423" t="str">
            <v>형틀목공</v>
          </cell>
          <cell r="W423" t="str">
            <v>중국</v>
          </cell>
        </row>
        <row r="424">
          <cell r="A424" t="str">
            <v>양지창</v>
          </cell>
          <cell r="B424" t="str">
            <v>경기 시흥 정왕동 1502-6</v>
          </cell>
          <cell r="C424" t="str">
            <v>800301-5</v>
          </cell>
          <cell r="D424" t="str">
            <v>010-2540-9777</v>
          </cell>
          <cell r="E424">
            <v>260000</v>
          </cell>
          <cell r="F424" t="str">
            <v>남</v>
          </cell>
          <cell r="G424">
            <v>47</v>
          </cell>
          <cell r="H424" t="str">
            <v>외국인</v>
          </cell>
          <cell r="I424" t="str">
            <v>LIANGZHIQIANG</v>
          </cell>
          <cell r="J424" t="str">
            <v>형틀목공</v>
          </cell>
          <cell r="K424" t="str">
            <v>김광일팀</v>
          </cell>
          <cell r="O424">
            <v>42575</v>
          </cell>
          <cell r="R424">
            <v>46106</v>
          </cell>
          <cell r="S424">
            <v>46106</v>
          </cell>
          <cell r="T424">
            <v>46106</v>
          </cell>
          <cell r="U424" t="str">
            <v>EP4887143</v>
          </cell>
          <cell r="V424" t="str">
            <v>형틀목공</v>
          </cell>
          <cell r="W424" t="str">
            <v>중국</v>
          </cell>
        </row>
        <row r="425">
          <cell r="A425" t="str">
            <v>위양</v>
          </cell>
          <cell r="B425" t="str">
            <v>경기 시흥 정왕동 1523-11</v>
          </cell>
          <cell r="C425" t="str">
            <v>900917-5</v>
          </cell>
          <cell r="D425" t="str">
            <v>010-8161-1557</v>
          </cell>
          <cell r="E425">
            <v>260000</v>
          </cell>
          <cell r="F425" t="str">
            <v>남</v>
          </cell>
          <cell r="G425">
            <v>37</v>
          </cell>
          <cell r="H425" t="str">
            <v>외국인</v>
          </cell>
          <cell r="I425" t="str">
            <v>YUYANG</v>
          </cell>
          <cell r="J425" t="str">
            <v>형틀목공</v>
          </cell>
          <cell r="K425" t="str">
            <v>김광일팀</v>
          </cell>
          <cell r="O425">
            <v>43898</v>
          </cell>
          <cell r="R425">
            <v>46106</v>
          </cell>
          <cell r="S425">
            <v>46106</v>
          </cell>
          <cell r="T425">
            <v>46106</v>
          </cell>
          <cell r="U425" t="str">
            <v>EB6301971</v>
          </cell>
          <cell r="V425" t="str">
            <v>형틀목공</v>
          </cell>
          <cell r="W425" t="str">
            <v>중국</v>
          </cell>
        </row>
        <row r="426">
          <cell r="A426" t="str">
            <v>전길복</v>
          </cell>
          <cell r="B426" t="str">
            <v>경기 시흥 정왕동 1508-17</v>
          </cell>
          <cell r="C426" t="str">
            <v>861102-5</v>
          </cell>
          <cell r="D426" t="str">
            <v>010-8096-8141</v>
          </cell>
          <cell r="E426">
            <v>260000</v>
          </cell>
          <cell r="F426" t="str">
            <v>남</v>
          </cell>
          <cell r="G426">
            <v>41</v>
          </cell>
          <cell r="H426" t="str">
            <v>외국인</v>
          </cell>
          <cell r="I426" t="str">
            <v>TIANJIFU</v>
          </cell>
          <cell r="J426" t="str">
            <v>형틀목공</v>
          </cell>
          <cell r="K426" t="str">
            <v>김광일팀</v>
          </cell>
          <cell r="O426">
            <v>43431</v>
          </cell>
          <cell r="R426">
            <v>46106</v>
          </cell>
          <cell r="S426">
            <v>46106</v>
          </cell>
          <cell r="T426">
            <v>46106</v>
          </cell>
          <cell r="U426" t="str">
            <v>EJ5969182</v>
          </cell>
          <cell r="V426" t="str">
            <v>형틀목공</v>
          </cell>
          <cell r="W426" t="str">
            <v>중국</v>
          </cell>
        </row>
        <row r="427">
          <cell r="A427" t="str">
            <v>조해빈</v>
          </cell>
          <cell r="B427" t="str">
            <v>경기 시흥 정왕동 1531-9</v>
          </cell>
          <cell r="C427" t="str">
            <v>930108-5</v>
          </cell>
          <cell r="D427" t="str">
            <v>010-9185-9555</v>
          </cell>
          <cell r="E427">
            <v>260000</v>
          </cell>
          <cell r="F427" t="str">
            <v>남</v>
          </cell>
          <cell r="G427">
            <v>34</v>
          </cell>
          <cell r="H427" t="str">
            <v>외국인</v>
          </cell>
          <cell r="I427" t="str">
            <v>CAOHAIBIN</v>
          </cell>
          <cell r="J427" t="str">
            <v>형틀목공</v>
          </cell>
          <cell r="K427" t="str">
            <v>김광일팀</v>
          </cell>
          <cell r="O427">
            <v>43898</v>
          </cell>
          <cell r="R427">
            <v>46106</v>
          </cell>
          <cell r="S427">
            <v>46106</v>
          </cell>
          <cell r="T427">
            <v>46106</v>
          </cell>
          <cell r="U427" t="str">
            <v>EJ5504925</v>
          </cell>
          <cell r="V427" t="str">
            <v>형틀목공</v>
          </cell>
          <cell r="W427" t="str">
            <v>중국</v>
          </cell>
        </row>
        <row r="428">
          <cell r="A428" t="str">
            <v>주가</v>
          </cell>
          <cell r="B428" t="str">
            <v>경기 시흥 정왕동 왕천로414번길22</v>
          </cell>
          <cell r="C428" t="str">
            <v>810810-5</v>
          </cell>
          <cell r="D428" t="str">
            <v>010-5806-1887</v>
          </cell>
          <cell r="E428">
            <v>260000</v>
          </cell>
          <cell r="F428" t="str">
            <v>남</v>
          </cell>
          <cell r="G428">
            <v>46</v>
          </cell>
          <cell r="H428" t="str">
            <v>외국인</v>
          </cell>
          <cell r="I428" t="str">
            <v>ZHUJIA</v>
          </cell>
          <cell r="J428" t="str">
            <v>형틀목공</v>
          </cell>
          <cell r="K428" t="str">
            <v>김광일팀</v>
          </cell>
          <cell r="O428">
            <v>43763</v>
          </cell>
          <cell r="R428">
            <v>46106</v>
          </cell>
          <cell r="S428">
            <v>46106</v>
          </cell>
          <cell r="T428">
            <v>46106</v>
          </cell>
          <cell r="U428" t="str">
            <v>E53033250</v>
          </cell>
          <cell r="V428" t="str">
            <v>형틀목공</v>
          </cell>
          <cell r="W428" t="str">
            <v>중국</v>
          </cell>
        </row>
        <row r="429">
          <cell r="A429" t="str">
            <v>주중화</v>
          </cell>
          <cell r="B429" t="str">
            <v>서울 구로구 구로동 15</v>
          </cell>
          <cell r="C429" t="str">
            <v>850903-5</v>
          </cell>
          <cell r="D429" t="str">
            <v>010-7358-0879</v>
          </cell>
          <cell r="E429">
            <v>260000</v>
          </cell>
          <cell r="F429" t="str">
            <v>남</v>
          </cell>
          <cell r="G429">
            <v>42</v>
          </cell>
          <cell r="H429" t="str">
            <v>외국인</v>
          </cell>
          <cell r="I429" t="str">
            <v>ZHUZHONGHUA</v>
          </cell>
          <cell r="J429" t="str">
            <v>형틀목공</v>
          </cell>
          <cell r="K429" t="str">
            <v>김광일팀</v>
          </cell>
          <cell r="O429">
            <v>45356</v>
          </cell>
          <cell r="Q429" t="str">
            <v/>
          </cell>
          <cell r="R429">
            <v>46107</v>
          </cell>
          <cell r="S429">
            <v>46107</v>
          </cell>
          <cell r="T429">
            <v>46107</v>
          </cell>
          <cell r="U429" t="str">
            <v>EL2061791</v>
          </cell>
          <cell r="V429" t="str">
            <v>형틀목공</v>
          </cell>
          <cell r="W429" t="str">
            <v>중국</v>
          </cell>
        </row>
        <row r="430">
          <cell r="A430" t="str">
            <v>맹경정</v>
          </cell>
          <cell r="B430" t="str">
            <v>정왕동 1527-3</v>
          </cell>
          <cell r="C430" t="str">
            <v>800717-5</v>
          </cell>
          <cell r="D430" t="str">
            <v>010-3206-8099</v>
          </cell>
          <cell r="E430">
            <v>260000</v>
          </cell>
          <cell r="F430" t="str">
            <v>남</v>
          </cell>
          <cell r="G430">
            <v>47</v>
          </cell>
          <cell r="H430" t="str">
            <v>외국인</v>
          </cell>
          <cell r="I430" t="str">
            <v>MENG QINGZHENG</v>
          </cell>
          <cell r="J430" t="str">
            <v>형틀목공</v>
          </cell>
          <cell r="K430" t="str">
            <v>김광일팀</v>
          </cell>
          <cell r="O430">
            <v>42891</v>
          </cell>
          <cell r="R430">
            <v>46125</v>
          </cell>
          <cell r="S430">
            <v>46125</v>
          </cell>
          <cell r="T430">
            <v>46125</v>
          </cell>
          <cell r="U430" t="str">
            <v>EQ6126970</v>
          </cell>
          <cell r="V430" t="str">
            <v>형틀목공</v>
          </cell>
          <cell r="W430" t="str">
            <v>중국</v>
          </cell>
        </row>
        <row r="431">
          <cell r="A431" t="str">
            <v>양안춘</v>
          </cell>
          <cell r="B431" t="str">
            <v>원주시 솔우물2길</v>
          </cell>
          <cell r="C431" t="str">
            <v>851215-5</v>
          </cell>
          <cell r="D431" t="str">
            <v>010-8655-2888</v>
          </cell>
          <cell r="E431">
            <v>260000</v>
          </cell>
          <cell r="F431" t="str">
            <v>남</v>
          </cell>
          <cell r="G431">
            <v>42</v>
          </cell>
          <cell r="H431" t="str">
            <v>외국인</v>
          </cell>
          <cell r="I431" t="str">
            <v>YANG ANCHUN</v>
          </cell>
          <cell r="J431" t="str">
            <v>형틀목공</v>
          </cell>
          <cell r="K431" t="str">
            <v>김광일팀</v>
          </cell>
          <cell r="O431">
            <v>43408</v>
          </cell>
          <cell r="R431">
            <v>46125</v>
          </cell>
          <cell r="S431">
            <v>46125</v>
          </cell>
          <cell r="T431">
            <v>46125</v>
          </cell>
          <cell r="U431" t="str">
            <v>ED6201448</v>
          </cell>
          <cell r="V431" t="str">
            <v>형틀목공</v>
          </cell>
          <cell r="W431" t="str">
            <v>중국</v>
          </cell>
        </row>
        <row r="432">
          <cell r="A432" t="str">
            <v>왕봉</v>
          </cell>
          <cell r="B432" t="str">
            <v>정왕동 1570</v>
          </cell>
          <cell r="C432" t="str">
            <v>820118-5</v>
          </cell>
          <cell r="D432" t="str">
            <v>010-8096-8580</v>
          </cell>
          <cell r="E432">
            <v>260000</v>
          </cell>
          <cell r="F432" t="str">
            <v>남</v>
          </cell>
          <cell r="G432">
            <v>45</v>
          </cell>
          <cell r="H432" t="str">
            <v>외국인</v>
          </cell>
          <cell r="I432" t="str">
            <v>WANG PENG</v>
          </cell>
          <cell r="J432" t="str">
            <v>형틀목공</v>
          </cell>
          <cell r="K432" t="str">
            <v>김광일팀</v>
          </cell>
          <cell r="O432">
            <v>42850</v>
          </cell>
          <cell r="R432">
            <v>46125</v>
          </cell>
          <cell r="S432">
            <v>46125</v>
          </cell>
          <cell r="T432">
            <v>46125</v>
          </cell>
          <cell r="U432" t="str">
            <v>EJ4801515</v>
          </cell>
          <cell r="V432" t="str">
            <v>형틀목공</v>
          </cell>
          <cell r="W432" t="str">
            <v>중국</v>
          </cell>
        </row>
        <row r="433">
          <cell r="A433" t="str">
            <v>왕수추</v>
          </cell>
          <cell r="B433" t="str">
            <v>정용천로 443번길</v>
          </cell>
          <cell r="C433" t="str">
            <v>800902-5</v>
          </cell>
          <cell r="D433" t="str">
            <v>010-7637-8333</v>
          </cell>
          <cell r="E433">
            <v>260000</v>
          </cell>
          <cell r="F433" t="str">
            <v>남</v>
          </cell>
          <cell r="G433">
            <v>47</v>
          </cell>
          <cell r="H433" t="str">
            <v>외국인</v>
          </cell>
          <cell r="I433" t="str">
            <v>WANG SHUQIU</v>
          </cell>
          <cell r="J433" t="str">
            <v>형틀목공</v>
          </cell>
          <cell r="K433" t="str">
            <v>김광일팀</v>
          </cell>
          <cell r="O433">
            <v>42988</v>
          </cell>
          <cell r="R433">
            <v>46125</v>
          </cell>
          <cell r="S433">
            <v>46125</v>
          </cell>
          <cell r="T433">
            <v>46125</v>
          </cell>
          <cell r="U433" t="str">
            <v>EE4158348</v>
          </cell>
          <cell r="V433" t="str">
            <v>형틀목공</v>
          </cell>
          <cell r="W433" t="str">
            <v>중국</v>
          </cell>
        </row>
        <row r="434">
          <cell r="A434" t="str">
            <v>장지창</v>
          </cell>
          <cell r="B434" t="str">
            <v xml:space="preserve">충남 천안시 서북구 </v>
          </cell>
          <cell r="C434" t="str">
            <v>930106-5</v>
          </cell>
          <cell r="D434" t="str">
            <v>010-7401-6406</v>
          </cell>
          <cell r="E434">
            <v>260000</v>
          </cell>
          <cell r="F434" t="str">
            <v>남</v>
          </cell>
          <cell r="G434">
            <v>34</v>
          </cell>
          <cell r="H434" t="str">
            <v>외국인</v>
          </cell>
          <cell r="I434" t="str">
            <v>ZHUANG ZHICHANG</v>
          </cell>
          <cell r="J434" t="str">
            <v>형틀목공</v>
          </cell>
          <cell r="K434" t="str">
            <v>김광일팀</v>
          </cell>
          <cell r="O434">
            <v>43543</v>
          </cell>
          <cell r="R434">
            <v>46125</v>
          </cell>
          <cell r="S434">
            <v>46125</v>
          </cell>
          <cell r="T434">
            <v>46125</v>
          </cell>
          <cell r="U434" t="str">
            <v>EL6698314</v>
          </cell>
          <cell r="V434" t="str">
            <v>형틀목공</v>
          </cell>
          <cell r="W434" t="str">
            <v>중국</v>
          </cell>
        </row>
        <row r="435">
          <cell r="A435" t="str">
            <v>주광해</v>
          </cell>
          <cell r="B435" t="str">
            <v>정왕동 1504-1</v>
          </cell>
          <cell r="C435" t="str">
            <v>830617-5</v>
          </cell>
          <cell r="D435" t="str">
            <v>010-7213-1881</v>
          </cell>
          <cell r="E435">
            <v>260000</v>
          </cell>
          <cell r="F435" t="str">
            <v>남</v>
          </cell>
          <cell r="G435">
            <v>44</v>
          </cell>
          <cell r="H435" t="str">
            <v>외국인</v>
          </cell>
          <cell r="I435" t="str">
            <v>ZHOU GUANGHAI</v>
          </cell>
          <cell r="J435" t="str">
            <v>형틀목공</v>
          </cell>
          <cell r="K435" t="str">
            <v>김광일팀</v>
          </cell>
          <cell r="O435">
            <v>43994</v>
          </cell>
          <cell r="R435">
            <v>46125</v>
          </cell>
          <cell r="S435">
            <v>46125</v>
          </cell>
          <cell r="T435">
            <v>46125</v>
          </cell>
          <cell r="U435" t="str">
            <v>G58131414</v>
          </cell>
          <cell r="V435" t="str">
            <v>형틀목공</v>
          </cell>
          <cell r="W435" t="str">
            <v>중국</v>
          </cell>
        </row>
        <row r="436">
          <cell r="A436" t="str">
            <v>진홍성</v>
          </cell>
          <cell r="B436" t="str">
            <v>정돵동 1499-10</v>
          </cell>
          <cell r="C436" t="str">
            <v>770127-5</v>
          </cell>
          <cell r="D436" t="str">
            <v>010-8349-0727</v>
          </cell>
          <cell r="E436">
            <v>260000</v>
          </cell>
          <cell r="F436" t="str">
            <v>남</v>
          </cell>
          <cell r="G436">
            <v>50</v>
          </cell>
          <cell r="H436" t="str">
            <v>외국인</v>
          </cell>
          <cell r="I436" t="str">
            <v>CHEN HONGSHENG</v>
          </cell>
          <cell r="J436" t="str">
            <v>형틀목공</v>
          </cell>
          <cell r="K436" t="str">
            <v>김광일팀</v>
          </cell>
          <cell r="O436">
            <v>43467</v>
          </cell>
          <cell r="R436">
            <v>46125</v>
          </cell>
          <cell r="S436">
            <v>46125</v>
          </cell>
          <cell r="T436">
            <v>46125</v>
          </cell>
          <cell r="U436" t="str">
            <v>EA5294697</v>
          </cell>
          <cell r="V436" t="str">
            <v>형틀목공</v>
          </cell>
          <cell r="W436" t="str">
            <v>중국</v>
          </cell>
        </row>
        <row r="437">
          <cell r="A437" t="str">
            <v>치소은</v>
          </cell>
          <cell r="B437" t="str">
            <v>경기 시흥시 정왕동 1403-5</v>
          </cell>
          <cell r="C437" t="str">
            <v>870609-5</v>
          </cell>
          <cell r="D437" t="str">
            <v>010-8058-5777</v>
          </cell>
          <cell r="E437">
            <v>260000</v>
          </cell>
          <cell r="F437" t="str">
            <v>남</v>
          </cell>
          <cell r="G437">
            <v>40</v>
          </cell>
          <cell r="H437" t="str">
            <v>외국인</v>
          </cell>
          <cell r="I437" t="str">
            <v>QI XIAOYIN</v>
          </cell>
          <cell r="J437" t="str">
            <v>형틀목공</v>
          </cell>
          <cell r="K437" t="str">
            <v>김광일팀</v>
          </cell>
          <cell r="O437">
            <v>43408</v>
          </cell>
          <cell r="R437">
            <v>46125</v>
          </cell>
          <cell r="S437">
            <v>46125</v>
          </cell>
          <cell r="T437">
            <v>46125</v>
          </cell>
          <cell r="U437" t="str">
            <v>EA4591759</v>
          </cell>
          <cell r="V437" t="str">
            <v>형틀목공</v>
          </cell>
          <cell r="W437" t="str">
            <v>중국</v>
          </cell>
        </row>
        <row r="438">
          <cell r="A438" t="str">
            <v>칸옥림</v>
          </cell>
          <cell r="B438" t="str">
            <v>경기 시흥시 정왕동 1516-6</v>
          </cell>
          <cell r="C438" t="str">
            <v>880323-5</v>
          </cell>
          <cell r="D438" t="str">
            <v>010-7289-7111</v>
          </cell>
          <cell r="E438">
            <v>260000</v>
          </cell>
          <cell r="F438" t="str">
            <v>남</v>
          </cell>
          <cell r="G438">
            <v>39</v>
          </cell>
          <cell r="H438" t="str">
            <v>외국인</v>
          </cell>
          <cell r="I438" t="str">
            <v>KAN YULIN</v>
          </cell>
          <cell r="J438" t="str">
            <v>형틀목공</v>
          </cell>
          <cell r="K438" t="str">
            <v>김광일팀</v>
          </cell>
          <cell r="O438">
            <v>43924</v>
          </cell>
          <cell r="R438">
            <v>46125</v>
          </cell>
          <cell r="S438">
            <v>46125</v>
          </cell>
          <cell r="T438">
            <v>46125</v>
          </cell>
          <cell r="U438" t="str">
            <v>E84583438</v>
          </cell>
          <cell r="V438" t="str">
            <v>형틀목공</v>
          </cell>
          <cell r="W438" t="str">
            <v>중국</v>
          </cell>
        </row>
        <row r="439">
          <cell r="A439" t="str">
            <v>호창복</v>
          </cell>
          <cell r="B439" t="str">
            <v>정왕동 1544-2</v>
          </cell>
          <cell r="C439" t="str">
            <v>820204-5</v>
          </cell>
          <cell r="D439" t="str">
            <v>010-8096-9216</v>
          </cell>
          <cell r="E439">
            <v>260000</v>
          </cell>
          <cell r="F439" t="str">
            <v>남</v>
          </cell>
          <cell r="G439">
            <v>45</v>
          </cell>
          <cell r="H439" t="str">
            <v>외국인</v>
          </cell>
          <cell r="I439" t="str">
            <v>HAO CHUANFU</v>
          </cell>
          <cell r="J439" t="str">
            <v>형틀목공</v>
          </cell>
          <cell r="K439" t="str">
            <v>김광일팀</v>
          </cell>
          <cell r="O439">
            <v>43270</v>
          </cell>
          <cell r="R439">
            <v>46125</v>
          </cell>
          <cell r="S439">
            <v>46125</v>
          </cell>
          <cell r="T439">
            <v>46125</v>
          </cell>
          <cell r="U439" t="str">
            <v>E87042617</v>
          </cell>
          <cell r="V439" t="str">
            <v>형틀목공</v>
          </cell>
          <cell r="W439" t="str">
            <v>중국</v>
          </cell>
        </row>
        <row r="440">
          <cell r="A440" t="str">
            <v>곡가이</v>
          </cell>
          <cell r="B440" t="str">
            <v>안산749-1</v>
          </cell>
          <cell r="C440" t="str">
            <v>860118-5</v>
          </cell>
          <cell r="D440" t="str">
            <v>010-2253-3986</v>
          </cell>
          <cell r="E440">
            <v>260000</v>
          </cell>
          <cell r="F440" t="str">
            <v>남</v>
          </cell>
          <cell r="G440">
            <v>41</v>
          </cell>
          <cell r="H440" t="str">
            <v>외국인</v>
          </cell>
          <cell r="I440" t="str">
            <v>QU JIALI</v>
          </cell>
          <cell r="J440" t="str">
            <v>형틀목공</v>
          </cell>
          <cell r="K440" t="str">
            <v>김광일팀</v>
          </cell>
          <cell r="O440">
            <v>44754</v>
          </cell>
          <cell r="R440">
            <v>46126</v>
          </cell>
          <cell r="S440">
            <v>46126</v>
          </cell>
          <cell r="T440">
            <v>46126</v>
          </cell>
          <cell r="U440" t="str">
            <v>EB5459759</v>
          </cell>
          <cell r="V440" t="str">
            <v>형틀목공</v>
          </cell>
          <cell r="W440" t="str">
            <v>중국</v>
          </cell>
        </row>
        <row r="441">
          <cell r="A441" t="str">
            <v>오국창</v>
          </cell>
          <cell r="B441" t="str">
            <v>안산 747-4</v>
          </cell>
          <cell r="C441" t="str">
            <v>860729-5</v>
          </cell>
          <cell r="D441" t="str">
            <v>010-9758-0678</v>
          </cell>
          <cell r="E441">
            <v>260000</v>
          </cell>
          <cell r="F441" t="str">
            <v>남</v>
          </cell>
          <cell r="G441">
            <v>41</v>
          </cell>
          <cell r="H441" t="str">
            <v>외국인</v>
          </cell>
          <cell r="I441" t="str">
            <v>WU GUOCHUANG</v>
          </cell>
          <cell r="J441" t="str">
            <v>형틀목공</v>
          </cell>
          <cell r="K441" t="str">
            <v>김광일팀</v>
          </cell>
          <cell r="O441">
            <v>44330</v>
          </cell>
          <cell r="R441">
            <v>46126</v>
          </cell>
          <cell r="S441">
            <v>46126</v>
          </cell>
          <cell r="T441">
            <v>46126</v>
          </cell>
          <cell r="U441" t="str">
            <v>EJ6003519</v>
          </cell>
          <cell r="V441" t="str">
            <v>형틀목공</v>
          </cell>
          <cell r="W441" t="str">
            <v>중국</v>
          </cell>
        </row>
        <row r="442">
          <cell r="A442" t="str">
            <v>왕경희</v>
          </cell>
          <cell r="C442" t="str">
            <v>841101-5</v>
          </cell>
          <cell r="D442" t="str">
            <v>010-2935-0349</v>
          </cell>
          <cell r="E442">
            <v>260000</v>
          </cell>
          <cell r="F442" t="str">
            <v>남</v>
          </cell>
          <cell r="G442">
            <v>43</v>
          </cell>
          <cell r="H442" t="str">
            <v>외국인</v>
          </cell>
          <cell r="I442" t="str">
            <v>WANG JINGHUI</v>
          </cell>
          <cell r="J442" t="str">
            <v>형틀목공</v>
          </cell>
          <cell r="K442" t="str">
            <v>김광일팀</v>
          </cell>
          <cell r="O442">
            <v>43734</v>
          </cell>
          <cell r="R442">
            <v>46126</v>
          </cell>
          <cell r="S442">
            <v>46126</v>
          </cell>
          <cell r="T442">
            <v>46126</v>
          </cell>
          <cell r="U442" t="str">
            <v>E87132000</v>
          </cell>
          <cell r="V442" t="str">
            <v>형틀목공</v>
          </cell>
          <cell r="W442" t="str">
            <v>중국</v>
          </cell>
        </row>
        <row r="443">
          <cell r="A443" t="str">
            <v>이건</v>
          </cell>
          <cell r="B443" t="str">
            <v>일청로 45</v>
          </cell>
          <cell r="C443" t="str">
            <v>950405-5</v>
          </cell>
          <cell r="D443" t="str">
            <v>010-2446-0621</v>
          </cell>
          <cell r="E443">
            <v>260000</v>
          </cell>
          <cell r="F443" t="str">
            <v>남</v>
          </cell>
          <cell r="G443">
            <v>32</v>
          </cell>
          <cell r="H443" t="str">
            <v>외국인</v>
          </cell>
          <cell r="I443" t="str">
            <v>LI JIAN</v>
          </cell>
          <cell r="J443" t="str">
            <v>형틀목공</v>
          </cell>
          <cell r="K443" t="str">
            <v>김광일팀</v>
          </cell>
          <cell r="O443">
            <v>43238</v>
          </cell>
          <cell r="R443">
            <v>46126</v>
          </cell>
          <cell r="S443">
            <v>46126</v>
          </cell>
          <cell r="T443">
            <v>46126</v>
          </cell>
          <cell r="U443" t="str">
            <v>EN0722363</v>
          </cell>
          <cell r="V443" t="str">
            <v>형틀목공</v>
          </cell>
          <cell r="W443" t="str">
            <v>중국</v>
          </cell>
        </row>
        <row r="444">
          <cell r="A444" t="str">
            <v>이명</v>
          </cell>
          <cell r="B444" t="str">
            <v>정왕동 1510-3</v>
          </cell>
          <cell r="C444" t="str">
            <v>880129-5</v>
          </cell>
          <cell r="D444" t="str">
            <v>010-4293-1421</v>
          </cell>
          <cell r="E444">
            <v>260000</v>
          </cell>
          <cell r="F444" t="str">
            <v>남</v>
          </cell>
          <cell r="G444">
            <v>39</v>
          </cell>
          <cell r="H444" t="str">
            <v>외국인</v>
          </cell>
          <cell r="I444" t="str">
            <v>LI MING</v>
          </cell>
          <cell r="J444" t="str">
            <v>형틀목공</v>
          </cell>
          <cell r="K444" t="str">
            <v>김광일팀</v>
          </cell>
          <cell r="O444">
            <v>44262</v>
          </cell>
          <cell r="R444">
            <v>46126</v>
          </cell>
          <cell r="S444">
            <v>46126</v>
          </cell>
          <cell r="T444">
            <v>46126</v>
          </cell>
          <cell r="U444" t="str">
            <v>EM0660322</v>
          </cell>
          <cell r="V444" t="str">
            <v>형틀목공</v>
          </cell>
          <cell r="W444" t="str">
            <v>중국</v>
          </cell>
        </row>
        <row r="445">
          <cell r="A445" t="str">
            <v>고창중</v>
          </cell>
          <cell r="B445" t="str">
            <v>구월동 1236-12</v>
          </cell>
          <cell r="C445" t="str">
            <v>810512-5</v>
          </cell>
          <cell r="D445" t="str">
            <v>010-7527-5277</v>
          </cell>
          <cell r="E445">
            <v>260000</v>
          </cell>
          <cell r="F445" t="str">
            <v>남</v>
          </cell>
          <cell r="G445">
            <v>46</v>
          </cell>
          <cell r="H445" t="str">
            <v>외국인</v>
          </cell>
          <cell r="I445" t="str">
            <v>GAO CHANGZHONG</v>
          </cell>
          <cell r="J445" t="str">
            <v>형틀목공</v>
          </cell>
          <cell r="K445" t="str">
            <v>김광일팀</v>
          </cell>
          <cell r="O445">
            <v>44985</v>
          </cell>
          <cell r="R445">
            <v>46128</v>
          </cell>
          <cell r="S445">
            <v>46128</v>
          </cell>
          <cell r="T445">
            <v>46128</v>
          </cell>
          <cell r="U445" t="str">
            <v>EC0097896</v>
          </cell>
          <cell r="V445" t="str">
            <v>형틀목공</v>
          </cell>
          <cell r="W445" t="str">
            <v>중국</v>
          </cell>
        </row>
        <row r="446">
          <cell r="A446" t="str">
            <v>서뢰</v>
          </cell>
          <cell r="B446" t="str">
            <v>인천시 주안동 155-2</v>
          </cell>
          <cell r="C446" t="str">
            <v>820708-5</v>
          </cell>
          <cell r="D446" t="str">
            <v>010-2553-3799</v>
          </cell>
          <cell r="E446">
            <v>260000</v>
          </cell>
          <cell r="F446" t="str">
            <v>남</v>
          </cell>
          <cell r="G446">
            <v>45</v>
          </cell>
          <cell r="H446" t="str">
            <v>외국인</v>
          </cell>
          <cell r="I446" t="str">
            <v>XU LEI</v>
          </cell>
          <cell r="J446" t="str">
            <v>형틀목공</v>
          </cell>
          <cell r="K446" t="str">
            <v>김광일팀</v>
          </cell>
          <cell r="O446">
            <v>44974</v>
          </cell>
          <cell r="R446">
            <v>46128</v>
          </cell>
          <cell r="S446">
            <v>46128</v>
          </cell>
          <cell r="T446">
            <v>46128</v>
          </cell>
          <cell r="U446" t="str">
            <v>E83700941</v>
          </cell>
          <cell r="V446" t="str">
            <v>형틀목공</v>
          </cell>
          <cell r="W446" t="str">
            <v>중국</v>
          </cell>
        </row>
        <row r="447">
          <cell r="A447" t="str">
            <v>소해도</v>
          </cell>
          <cell r="B447" t="str">
            <v>구월동 1236-12</v>
          </cell>
          <cell r="C447" t="str">
            <v>790508-5</v>
          </cell>
          <cell r="D447" t="str">
            <v>010-4968-2258</v>
          </cell>
          <cell r="E447">
            <v>260000</v>
          </cell>
          <cell r="F447" t="str">
            <v>남</v>
          </cell>
          <cell r="G447">
            <v>48</v>
          </cell>
          <cell r="H447" t="str">
            <v>외국인</v>
          </cell>
          <cell r="I447" t="str">
            <v>SU HAITAO</v>
          </cell>
          <cell r="J447" t="str">
            <v>형틀목공</v>
          </cell>
          <cell r="K447" t="str">
            <v>김광일팀</v>
          </cell>
          <cell r="O447">
            <v>44186</v>
          </cell>
          <cell r="R447">
            <v>46128</v>
          </cell>
          <cell r="S447">
            <v>46128</v>
          </cell>
          <cell r="T447">
            <v>46128</v>
          </cell>
          <cell r="U447" t="str">
            <v>EF5960633</v>
          </cell>
          <cell r="V447" t="str">
            <v>형틀목공</v>
          </cell>
          <cell r="W447" t="str">
            <v>중국</v>
          </cell>
        </row>
        <row r="448">
          <cell r="A448" t="str">
            <v>송건평</v>
          </cell>
          <cell r="B448" t="str">
            <v>구월동 1236-12</v>
          </cell>
          <cell r="C448" t="str">
            <v>880225-5</v>
          </cell>
          <cell r="D448" t="str">
            <v>010-8189-5558</v>
          </cell>
          <cell r="E448">
            <v>260000</v>
          </cell>
          <cell r="F448" t="str">
            <v>남</v>
          </cell>
          <cell r="G448">
            <v>39</v>
          </cell>
          <cell r="H448" t="str">
            <v>외국인</v>
          </cell>
          <cell r="I448" t="str">
            <v>SONG JIANPING</v>
          </cell>
          <cell r="J448" t="str">
            <v>형틀목공</v>
          </cell>
          <cell r="K448" t="str">
            <v>김광일팀</v>
          </cell>
          <cell r="O448">
            <v>44746</v>
          </cell>
          <cell r="R448">
            <v>46128</v>
          </cell>
          <cell r="S448">
            <v>46128</v>
          </cell>
          <cell r="T448">
            <v>46128</v>
          </cell>
          <cell r="U448" t="str">
            <v>EB9316280</v>
          </cell>
          <cell r="V448" t="str">
            <v>형틀목공</v>
          </cell>
          <cell r="W448" t="str">
            <v>중국</v>
          </cell>
        </row>
        <row r="449">
          <cell r="A449" t="str">
            <v>오춘생</v>
          </cell>
          <cell r="C449" t="str">
            <v>880213-5</v>
          </cell>
          <cell r="D449" t="str">
            <v>010-2199-2213</v>
          </cell>
          <cell r="E449">
            <v>260000</v>
          </cell>
          <cell r="F449" t="str">
            <v>남</v>
          </cell>
          <cell r="G449">
            <v>39</v>
          </cell>
          <cell r="H449" t="str">
            <v>외국인</v>
          </cell>
          <cell r="I449" t="str">
            <v>WU CHUNSHENG</v>
          </cell>
          <cell r="J449" t="str">
            <v>형틀목공</v>
          </cell>
          <cell r="K449" t="str">
            <v>김광일팀</v>
          </cell>
          <cell r="O449">
            <v>44754</v>
          </cell>
          <cell r="R449">
            <v>46128</v>
          </cell>
          <cell r="S449">
            <v>46128</v>
          </cell>
          <cell r="T449">
            <v>46128</v>
          </cell>
          <cell r="U449" t="str">
            <v>EJ2571826</v>
          </cell>
          <cell r="V449" t="str">
            <v>형틀목공</v>
          </cell>
          <cell r="W449" t="str">
            <v>중국</v>
          </cell>
        </row>
        <row r="450">
          <cell r="A450" t="str">
            <v>곡연우</v>
          </cell>
          <cell r="B450" t="str">
            <v>안산시 원구동</v>
          </cell>
          <cell r="C450" t="str">
            <v>860102-5</v>
          </cell>
          <cell r="D450" t="str">
            <v>010-3084-6362</v>
          </cell>
          <cell r="E450">
            <v>260000</v>
          </cell>
          <cell r="F450" t="str">
            <v>남</v>
          </cell>
          <cell r="G450">
            <v>41</v>
          </cell>
          <cell r="H450" t="str">
            <v>외국인</v>
          </cell>
          <cell r="I450" t="str">
            <v>QU YANYU</v>
          </cell>
          <cell r="J450" t="str">
            <v>형틀목공</v>
          </cell>
          <cell r="K450" t="str">
            <v>김광일팀</v>
          </cell>
          <cell r="O450">
            <v>41989</v>
          </cell>
          <cell r="R450">
            <v>46144</v>
          </cell>
          <cell r="S450">
            <v>46144</v>
          </cell>
          <cell r="T450">
            <v>46144</v>
          </cell>
          <cell r="U450" t="str">
            <v>EN0452310</v>
          </cell>
          <cell r="V450" t="str">
            <v>형틀목공</v>
          </cell>
          <cell r="W450" t="str">
            <v>중국</v>
          </cell>
        </row>
        <row r="451">
          <cell r="A451" t="str">
            <v>양금용</v>
          </cell>
          <cell r="B451" t="str">
            <v>안산시 정왕동</v>
          </cell>
          <cell r="C451" t="str">
            <v>820122-5</v>
          </cell>
          <cell r="D451" t="str">
            <v>010-6753-5855</v>
          </cell>
          <cell r="E451">
            <v>260000</v>
          </cell>
          <cell r="F451" t="str">
            <v>남</v>
          </cell>
          <cell r="G451">
            <v>45</v>
          </cell>
          <cell r="H451" t="str">
            <v>외국인</v>
          </cell>
          <cell r="I451" t="str">
            <v>YANG JINLONG</v>
          </cell>
          <cell r="J451" t="str">
            <v>형틀목공</v>
          </cell>
          <cell r="K451" t="str">
            <v>김광일팀</v>
          </cell>
          <cell r="O451">
            <v>43866</v>
          </cell>
          <cell r="R451">
            <v>46144</v>
          </cell>
          <cell r="S451">
            <v>46144</v>
          </cell>
          <cell r="T451">
            <v>46144</v>
          </cell>
          <cell r="U451" t="str">
            <v>E95814074</v>
          </cell>
          <cell r="V451" t="str">
            <v>형틀목공</v>
          </cell>
          <cell r="W451" t="str">
            <v>중국</v>
          </cell>
        </row>
        <row r="452">
          <cell r="A452" t="str">
            <v>왕경민</v>
          </cell>
          <cell r="B452" t="str">
            <v>안산시 원구동</v>
          </cell>
          <cell r="C452" t="str">
            <v>750911-5</v>
          </cell>
          <cell r="D452" t="str">
            <v>010-3207-9220</v>
          </cell>
          <cell r="E452">
            <v>260000</v>
          </cell>
          <cell r="F452" t="str">
            <v>남</v>
          </cell>
          <cell r="G452">
            <v>52</v>
          </cell>
          <cell r="H452" t="str">
            <v>외국인</v>
          </cell>
          <cell r="I452" t="str">
            <v>WANG QINGMIN</v>
          </cell>
          <cell r="J452" t="str">
            <v>형틀목공</v>
          </cell>
          <cell r="K452" t="str">
            <v>김광일팀</v>
          </cell>
          <cell r="O452">
            <v>44214</v>
          </cell>
          <cell r="R452">
            <v>46144</v>
          </cell>
          <cell r="S452">
            <v>46144</v>
          </cell>
          <cell r="T452">
            <v>46144</v>
          </cell>
          <cell r="U452" t="str">
            <v>E76300689</v>
          </cell>
          <cell r="V452" t="str">
            <v>형틀목공</v>
          </cell>
          <cell r="W452" t="str">
            <v>중국</v>
          </cell>
        </row>
        <row r="453">
          <cell r="A453" t="str">
            <v>왕용봉</v>
          </cell>
          <cell r="B453" t="str">
            <v>안산시 정왕동</v>
          </cell>
          <cell r="C453" t="str">
            <v>820305-5</v>
          </cell>
          <cell r="D453" t="str">
            <v>010-7712-9885</v>
          </cell>
          <cell r="E453">
            <v>260000</v>
          </cell>
          <cell r="F453" t="str">
            <v>남</v>
          </cell>
          <cell r="G453">
            <v>45</v>
          </cell>
          <cell r="H453" t="str">
            <v>외국인</v>
          </cell>
          <cell r="I453" t="str">
            <v>WANG YONGPENG</v>
          </cell>
          <cell r="J453" t="str">
            <v>형틀목공</v>
          </cell>
          <cell r="K453" t="str">
            <v>김광일팀</v>
          </cell>
          <cell r="O453">
            <v>43664</v>
          </cell>
          <cell r="R453">
            <v>46144</v>
          </cell>
          <cell r="S453">
            <v>46144</v>
          </cell>
          <cell r="T453">
            <v>46144</v>
          </cell>
          <cell r="U453" t="str">
            <v>EJ5193946</v>
          </cell>
          <cell r="V453" t="str">
            <v>형틀목공</v>
          </cell>
          <cell r="W453" t="str">
            <v>중국</v>
          </cell>
        </row>
        <row r="454">
          <cell r="A454" t="str">
            <v>이극학</v>
          </cell>
          <cell r="B454" t="str">
            <v>안산시 원구동</v>
          </cell>
          <cell r="C454" t="str">
            <v>881120-5</v>
          </cell>
          <cell r="D454" t="str">
            <v>010-4448-6059</v>
          </cell>
          <cell r="E454">
            <v>260000</v>
          </cell>
          <cell r="F454" t="str">
            <v>남</v>
          </cell>
          <cell r="G454">
            <v>39</v>
          </cell>
          <cell r="H454" t="str">
            <v>외국인</v>
          </cell>
          <cell r="I454" t="str">
            <v>LI KEXUE</v>
          </cell>
          <cell r="J454" t="str">
            <v>형틀목공</v>
          </cell>
          <cell r="K454" t="str">
            <v>김광일팀</v>
          </cell>
          <cell r="O454">
            <v>43635</v>
          </cell>
          <cell r="R454">
            <v>46144</v>
          </cell>
          <cell r="S454">
            <v>46144</v>
          </cell>
          <cell r="T454">
            <v>46144</v>
          </cell>
          <cell r="U454" t="str">
            <v>E94614881</v>
          </cell>
          <cell r="V454" t="str">
            <v>형틀목공</v>
          </cell>
          <cell r="W454" t="str">
            <v>중국</v>
          </cell>
        </row>
        <row r="455">
          <cell r="A455" t="str">
            <v>이심화</v>
          </cell>
          <cell r="B455" t="str">
            <v>시흥시 정왕동</v>
          </cell>
          <cell r="C455" t="str">
            <v>930418-5</v>
          </cell>
          <cell r="D455" t="str">
            <v>010-7713-1630</v>
          </cell>
          <cell r="E455">
            <v>260000</v>
          </cell>
          <cell r="F455" t="str">
            <v>남</v>
          </cell>
          <cell r="G455">
            <v>34</v>
          </cell>
          <cell r="H455" t="str">
            <v>외국인</v>
          </cell>
          <cell r="I455" t="str">
            <v>LI SHENHUA</v>
          </cell>
          <cell r="J455" t="str">
            <v>형틀목공</v>
          </cell>
          <cell r="K455" t="str">
            <v>김광일팀</v>
          </cell>
          <cell r="O455">
            <v>43420</v>
          </cell>
          <cell r="R455">
            <v>46144</v>
          </cell>
          <cell r="S455">
            <v>46144</v>
          </cell>
          <cell r="T455">
            <v>46144</v>
          </cell>
          <cell r="U455" t="str">
            <v>E32145057</v>
          </cell>
          <cell r="V455" t="str">
            <v>형틀목공</v>
          </cell>
          <cell r="W455" t="str">
            <v>중국</v>
          </cell>
        </row>
        <row r="456">
          <cell r="A456" t="str">
            <v>류야창</v>
          </cell>
          <cell r="B456" t="str">
            <v>강원 원주시</v>
          </cell>
          <cell r="C456" t="str">
            <v>920707-5</v>
          </cell>
          <cell r="D456" t="str">
            <v>010-5823-0288</v>
          </cell>
          <cell r="E456">
            <v>260000</v>
          </cell>
          <cell r="F456" t="str">
            <v>남</v>
          </cell>
          <cell r="G456">
            <v>35</v>
          </cell>
          <cell r="H456" t="str">
            <v>외국인</v>
          </cell>
          <cell r="I456" t="str">
            <v>LIU YACHUANG</v>
          </cell>
          <cell r="J456" t="str">
            <v>형틀목공</v>
          </cell>
          <cell r="K456" t="str">
            <v>김광일팀</v>
          </cell>
          <cell r="O456">
            <v>43146</v>
          </cell>
          <cell r="R456">
            <v>46160</v>
          </cell>
          <cell r="S456">
            <v>46160</v>
          </cell>
          <cell r="T456">
            <v>46160</v>
          </cell>
          <cell r="U456" t="str">
            <v>EH6363655</v>
          </cell>
          <cell r="V456" t="str">
            <v>형틀목공</v>
          </cell>
          <cell r="W456" t="str">
            <v>중국</v>
          </cell>
        </row>
        <row r="457">
          <cell r="A457" t="str">
            <v>조소배</v>
          </cell>
          <cell r="B457" t="str">
            <v>강원 원주시</v>
          </cell>
          <cell r="C457" t="str">
            <v>890404-5</v>
          </cell>
          <cell r="D457" t="str">
            <v>010-3221-8265</v>
          </cell>
          <cell r="E457">
            <v>260000</v>
          </cell>
          <cell r="F457" t="str">
            <v>남</v>
          </cell>
          <cell r="G457">
            <v>38</v>
          </cell>
          <cell r="H457" t="str">
            <v>외국인</v>
          </cell>
          <cell r="I457" t="str">
            <v>ZHAO SHAOPEI</v>
          </cell>
          <cell r="J457" t="str">
            <v>형틀목공</v>
          </cell>
          <cell r="K457" t="str">
            <v>김광일팀</v>
          </cell>
          <cell r="O457">
            <v>44173</v>
          </cell>
          <cell r="R457">
            <v>46160</v>
          </cell>
          <cell r="S457">
            <v>46160</v>
          </cell>
          <cell r="T457">
            <v>46160</v>
          </cell>
          <cell r="U457" t="str">
            <v>E90379362</v>
          </cell>
          <cell r="V457" t="str">
            <v>형틀목공</v>
          </cell>
          <cell r="W457" t="str">
            <v>중국</v>
          </cell>
        </row>
        <row r="458">
          <cell r="A458" t="str">
            <v>조위진</v>
          </cell>
          <cell r="B458" t="str">
            <v>강원 원주시</v>
          </cell>
          <cell r="C458" t="str">
            <v>900305-5</v>
          </cell>
          <cell r="D458" t="str">
            <v>010-4260-8668</v>
          </cell>
          <cell r="E458">
            <v>260000</v>
          </cell>
          <cell r="F458" t="str">
            <v>남</v>
          </cell>
          <cell r="G458">
            <v>37</v>
          </cell>
          <cell r="H458" t="str">
            <v>외국인</v>
          </cell>
          <cell r="I458" t="str">
            <v>ZHAO WEIZHEN</v>
          </cell>
          <cell r="J458" t="str">
            <v>형틀목공</v>
          </cell>
          <cell r="K458" t="str">
            <v>김광일팀</v>
          </cell>
          <cell r="O458">
            <v>43661</v>
          </cell>
          <cell r="R458">
            <v>46160</v>
          </cell>
          <cell r="S458">
            <v>46160</v>
          </cell>
          <cell r="T458">
            <v>46160</v>
          </cell>
          <cell r="U458" t="str">
            <v>EK6328142</v>
          </cell>
          <cell r="V458" t="str">
            <v>형틀목공</v>
          </cell>
          <cell r="W458" t="str">
            <v>중국</v>
          </cell>
        </row>
        <row r="459">
          <cell r="A459" t="str">
            <v>최로관</v>
          </cell>
          <cell r="B459" t="str">
            <v>강원 원주시</v>
          </cell>
          <cell r="C459" t="str">
            <v>881106-5</v>
          </cell>
          <cell r="D459" t="str">
            <v>010-7315-1573</v>
          </cell>
          <cell r="E459">
            <v>260000</v>
          </cell>
          <cell r="F459" t="str">
            <v>남</v>
          </cell>
          <cell r="G459">
            <v>39</v>
          </cell>
          <cell r="H459" t="str">
            <v>외국인</v>
          </cell>
          <cell r="I459" t="str">
            <v>CUI LUKUAN</v>
          </cell>
          <cell r="J459" t="str">
            <v>형틀목공</v>
          </cell>
          <cell r="K459" t="str">
            <v>김광일팀</v>
          </cell>
          <cell r="O459">
            <v>43521</v>
          </cell>
          <cell r="R459">
            <v>46160</v>
          </cell>
          <cell r="S459">
            <v>46160</v>
          </cell>
          <cell r="T459">
            <v>46160</v>
          </cell>
          <cell r="U459" t="str">
            <v>EA3539386</v>
          </cell>
          <cell r="V459" t="str">
            <v>형틀목공</v>
          </cell>
          <cell r="W459" t="str">
            <v>중국</v>
          </cell>
        </row>
        <row r="460">
          <cell r="A460" t="str">
            <v>류강</v>
          </cell>
          <cell r="B460" t="str">
            <v>중앙시장 3길</v>
          </cell>
          <cell r="C460" t="str">
            <v>750901-5</v>
          </cell>
          <cell r="D460" t="str">
            <v>010-8088-8189</v>
          </cell>
          <cell r="E460">
            <v>260000</v>
          </cell>
          <cell r="F460" t="str">
            <v>남</v>
          </cell>
          <cell r="G460">
            <v>52</v>
          </cell>
          <cell r="H460" t="str">
            <v>외국인</v>
          </cell>
          <cell r="I460" t="str">
            <v>LIU QIANG</v>
          </cell>
          <cell r="J460" t="str">
            <v>형틀목공</v>
          </cell>
          <cell r="K460" t="str">
            <v>김광일팀</v>
          </cell>
          <cell r="O460">
            <v>43330</v>
          </cell>
          <cell r="R460">
            <v>46164</v>
          </cell>
          <cell r="S460">
            <v>46164</v>
          </cell>
          <cell r="T460">
            <v>46164</v>
          </cell>
          <cell r="U460" t="str">
            <v>EG3841032</v>
          </cell>
          <cell r="V460" t="str">
            <v>형틀목공</v>
          </cell>
          <cell r="W460" t="str">
            <v>중국</v>
          </cell>
        </row>
        <row r="461">
          <cell r="A461" t="str">
            <v>왕신용</v>
          </cell>
          <cell r="B461" t="str">
            <v>명륜동 820-5</v>
          </cell>
          <cell r="C461" t="str">
            <v>881110-5</v>
          </cell>
          <cell r="D461" t="str">
            <v>010-2499-8808</v>
          </cell>
          <cell r="E461">
            <v>260000</v>
          </cell>
          <cell r="F461" t="str">
            <v>남</v>
          </cell>
          <cell r="G461">
            <v>39</v>
          </cell>
          <cell r="H461" t="str">
            <v>외국인</v>
          </cell>
          <cell r="I461" t="str">
            <v>WANG XINLONG</v>
          </cell>
          <cell r="J461" t="str">
            <v>형틀목공</v>
          </cell>
          <cell r="K461" t="str">
            <v>김광일팀</v>
          </cell>
          <cell r="O461">
            <v>43695</v>
          </cell>
          <cell r="R461">
            <v>46164</v>
          </cell>
          <cell r="S461">
            <v>46164</v>
          </cell>
          <cell r="T461">
            <v>46164</v>
          </cell>
          <cell r="U461" t="str">
            <v>ED1048699</v>
          </cell>
          <cell r="V461" t="str">
            <v>형틀목공</v>
          </cell>
          <cell r="W461" t="str">
            <v>중국</v>
          </cell>
        </row>
        <row r="462">
          <cell r="A462" t="str">
            <v>양충</v>
          </cell>
          <cell r="B462" t="str">
            <v>서울 구로구 구로동 15</v>
          </cell>
          <cell r="C462" t="str">
            <v>871219-5</v>
          </cell>
          <cell r="D462" t="str">
            <v>010-8021-3070</v>
          </cell>
          <cell r="E462">
            <v>260000</v>
          </cell>
          <cell r="F462" t="str">
            <v>남</v>
          </cell>
          <cell r="G462">
            <v>40</v>
          </cell>
          <cell r="H462" t="str">
            <v>외국인</v>
          </cell>
          <cell r="I462" t="str">
            <v>YANG CONG</v>
          </cell>
          <cell r="J462" t="str">
            <v>형틀목공</v>
          </cell>
          <cell r="K462" t="str">
            <v>김광일팀</v>
          </cell>
          <cell r="O462">
            <v>43864</v>
          </cell>
          <cell r="R462">
            <v>46164</v>
          </cell>
          <cell r="S462">
            <v>46164</v>
          </cell>
          <cell r="T462">
            <v>46164</v>
          </cell>
          <cell r="U462" t="str">
            <v>EK5164617</v>
          </cell>
          <cell r="V462" t="str">
            <v>형틀목공</v>
          </cell>
          <cell r="W462" t="str">
            <v>중국</v>
          </cell>
        </row>
        <row r="463">
          <cell r="A463" t="str">
            <v>마원월</v>
          </cell>
          <cell r="B463" t="str">
            <v>정왕동 1510-10</v>
          </cell>
          <cell r="C463" t="str">
            <v>830815-5</v>
          </cell>
          <cell r="D463" t="str">
            <v>010-7583-8682</v>
          </cell>
          <cell r="E463">
            <v>260000</v>
          </cell>
          <cell r="F463" t="str">
            <v>남</v>
          </cell>
          <cell r="G463">
            <v>44</v>
          </cell>
          <cell r="H463" t="str">
            <v>외국인</v>
          </cell>
          <cell r="I463" t="str">
            <v>MA YUANYUE</v>
          </cell>
          <cell r="J463" t="str">
            <v>형틀목공</v>
          </cell>
          <cell r="K463" t="str">
            <v>김광일팀</v>
          </cell>
          <cell r="O463">
            <v>43301</v>
          </cell>
          <cell r="R463">
            <v>46164</v>
          </cell>
          <cell r="S463">
            <v>46164</v>
          </cell>
          <cell r="T463">
            <v>46164</v>
          </cell>
          <cell r="U463" t="str">
            <v>ED0919563</v>
          </cell>
          <cell r="V463" t="str">
            <v>형틀목공</v>
          </cell>
          <cell r="W463" t="str">
            <v>중국</v>
          </cell>
        </row>
        <row r="464">
          <cell r="A464" t="str">
            <v>위리군</v>
          </cell>
          <cell r="B464" t="str">
            <v>안산시 정왕동1510-10</v>
          </cell>
          <cell r="C464" t="str">
            <v>800827-5</v>
          </cell>
          <cell r="D464" t="str">
            <v>010-9508-8111</v>
          </cell>
          <cell r="E464">
            <v>260000</v>
          </cell>
          <cell r="F464" t="str">
            <v>남</v>
          </cell>
          <cell r="G464">
            <v>47</v>
          </cell>
          <cell r="H464" t="str">
            <v>외국인</v>
          </cell>
          <cell r="I464" t="str">
            <v>YU LIQUN</v>
          </cell>
          <cell r="J464" t="str">
            <v>형틀목공</v>
          </cell>
          <cell r="K464" t="str">
            <v>김광일팀</v>
          </cell>
          <cell r="O464">
            <v>43794</v>
          </cell>
          <cell r="R464">
            <v>46164</v>
          </cell>
          <cell r="S464">
            <v>46164</v>
          </cell>
          <cell r="T464">
            <v>46164</v>
          </cell>
          <cell r="U464" t="str">
            <v>EN6402840</v>
          </cell>
          <cell r="V464" t="str">
            <v>형틀목공</v>
          </cell>
          <cell r="W464" t="str">
            <v>중국</v>
          </cell>
        </row>
        <row r="465">
          <cell r="A465" t="str">
            <v>청철주</v>
          </cell>
          <cell r="B465" t="str">
            <v>서울 구로구 구로동 15</v>
          </cell>
          <cell r="C465" t="str">
            <v>740304-5</v>
          </cell>
          <cell r="D465" t="str">
            <v>010-2133-5385</v>
          </cell>
          <cell r="E465">
            <v>260000</v>
          </cell>
          <cell r="F465" t="str">
            <v>남</v>
          </cell>
          <cell r="G465">
            <v>53</v>
          </cell>
          <cell r="H465" t="str">
            <v>외국인</v>
          </cell>
          <cell r="I465" t="str">
            <v>CHENG TIEZHU</v>
          </cell>
          <cell r="J465" t="str">
            <v>형틀목공</v>
          </cell>
          <cell r="K465" t="str">
            <v>김광일팀</v>
          </cell>
          <cell r="O465">
            <v>43724</v>
          </cell>
          <cell r="R465">
            <v>46164</v>
          </cell>
          <cell r="S465">
            <v>46164</v>
          </cell>
          <cell r="T465">
            <v>46164</v>
          </cell>
          <cell r="U465" t="str">
            <v>E73648327</v>
          </cell>
          <cell r="V465" t="str">
            <v>형틀목공</v>
          </cell>
          <cell r="W465" t="str">
            <v>중국</v>
          </cell>
        </row>
        <row r="466">
          <cell r="A466" t="str">
            <v>왕해군</v>
          </cell>
          <cell r="B466" t="str">
            <v>원주시 명륜동 821-4</v>
          </cell>
          <cell r="C466" t="str">
            <v>850420-5</v>
          </cell>
          <cell r="D466" t="str">
            <v>010-2151-5522</v>
          </cell>
          <cell r="E466">
            <v>260000</v>
          </cell>
          <cell r="F466" t="str">
            <v>남</v>
          </cell>
          <cell r="G466">
            <v>42</v>
          </cell>
          <cell r="H466" t="str">
            <v>외국인</v>
          </cell>
          <cell r="I466" t="str">
            <v>WANG HAIJUN</v>
          </cell>
          <cell r="J466" t="str">
            <v>형틀목공</v>
          </cell>
          <cell r="K466" t="str">
            <v>김광일팀</v>
          </cell>
          <cell r="O466">
            <v>46154</v>
          </cell>
          <cell r="R466">
            <v>46186</v>
          </cell>
          <cell r="S466">
            <v>46186</v>
          </cell>
          <cell r="T466">
            <v>46186</v>
          </cell>
          <cell r="U466" t="str">
            <v>EP9679726</v>
          </cell>
          <cell r="V466" t="str">
            <v>형틀목공</v>
          </cell>
          <cell r="W466" t="str">
            <v>중국</v>
          </cell>
        </row>
        <row r="467">
          <cell r="A467" t="str">
            <v>천수귀</v>
          </cell>
          <cell r="B467" t="str">
            <v>원주시</v>
          </cell>
          <cell r="C467" t="str">
            <v>730727-5</v>
          </cell>
          <cell r="D467" t="str">
            <v>010-5147-8386</v>
          </cell>
          <cell r="E467">
            <v>260000</v>
          </cell>
          <cell r="F467" t="str">
            <v>남</v>
          </cell>
          <cell r="G467">
            <v>54</v>
          </cell>
          <cell r="H467" t="str">
            <v>외국인</v>
          </cell>
          <cell r="I467" t="str">
            <v>CHEN SHUGUI</v>
          </cell>
          <cell r="J467" t="str">
            <v>형틀목공</v>
          </cell>
          <cell r="K467" t="str">
            <v>김광일팀</v>
          </cell>
          <cell r="O467" t="str">
            <v>없음</v>
          </cell>
          <cell r="R467">
            <v>46186</v>
          </cell>
          <cell r="S467">
            <v>46186</v>
          </cell>
          <cell r="T467">
            <v>46186</v>
          </cell>
          <cell r="U467" t="str">
            <v>EN8266646</v>
          </cell>
          <cell r="V467" t="str">
            <v>형틀목공</v>
          </cell>
          <cell r="W467" t="str">
            <v>중국</v>
          </cell>
        </row>
        <row r="468">
          <cell r="A468" t="str">
            <v>곽리동</v>
          </cell>
          <cell r="B468" t="str">
            <v>원주시 명륜동 821-4</v>
          </cell>
          <cell r="C468" t="str">
            <v>841216-5</v>
          </cell>
          <cell r="D468" t="str">
            <v>010-4477-1555</v>
          </cell>
          <cell r="E468">
            <v>260000</v>
          </cell>
          <cell r="F468" t="str">
            <v>남</v>
          </cell>
          <cell r="G468">
            <v>43</v>
          </cell>
          <cell r="H468" t="str">
            <v>외국인</v>
          </cell>
          <cell r="I468" t="str">
            <v>GUO LITONG</v>
          </cell>
          <cell r="J468" t="str">
            <v>형틀목공</v>
          </cell>
          <cell r="K468" t="str">
            <v>김광일팀</v>
          </cell>
          <cell r="O468">
            <v>42043</v>
          </cell>
          <cell r="R468">
            <v>46203</v>
          </cell>
          <cell r="S468">
            <v>46203</v>
          </cell>
          <cell r="T468">
            <v>46203</v>
          </cell>
          <cell r="U468" t="str">
            <v>EJ4933050</v>
          </cell>
          <cell r="V468" t="str">
            <v>형틀목공</v>
          </cell>
          <cell r="W468" t="str">
            <v>중국</v>
          </cell>
        </row>
        <row r="469">
          <cell r="A469" t="str">
            <v>곽리위</v>
          </cell>
          <cell r="B469" t="str">
            <v>원주시 명륜동 821-4</v>
          </cell>
          <cell r="C469" t="str">
            <v>880612-5</v>
          </cell>
          <cell r="D469" t="str">
            <v>010-3202-6101</v>
          </cell>
          <cell r="E469">
            <v>260000</v>
          </cell>
          <cell r="F469" t="str">
            <v>남</v>
          </cell>
          <cell r="G469">
            <v>39</v>
          </cell>
          <cell r="H469" t="str">
            <v>외국인</v>
          </cell>
          <cell r="I469" t="str">
            <v>GUO LIWEI</v>
          </cell>
          <cell r="J469" t="str">
            <v>형틀목공</v>
          </cell>
          <cell r="K469" t="str">
            <v>김광일팀</v>
          </cell>
          <cell r="O469">
            <v>45484</v>
          </cell>
          <cell r="R469">
            <v>46203</v>
          </cell>
          <cell r="S469">
            <v>46203</v>
          </cell>
          <cell r="T469">
            <v>46203</v>
          </cell>
          <cell r="U469" t="str">
            <v>E82583106</v>
          </cell>
          <cell r="V469" t="str">
            <v>형틀목공</v>
          </cell>
          <cell r="W469" t="str">
            <v>중국</v>
          </cell>
        </row>
        <row r="470">
          <cell r="A470" t="str">
            <v>소빈</v>
          </cell>
          <cell r="B470" t="str">
            <v>원주시 명륜동 821-4</v>
          </cell>
          <cell r="C470" t="str">
            <v>820425-5</v>
          </cell>
          <cell r="D470" t="str">
            <v>010-9736-1982</v>
          </cell>
          <cell r="E470">
            <v>260000</v>
          </cell>
          <cell r="F470" t="str">
            <v>남</v>
          </cell>
          <cell r="G470">
            <v>45</v>
          </cell>
          <cell r="H470" t="str">
            <v>외국인</v>
          </cell>
          <cell r="I470" t="str">
            <v>SHAO BIN</v>
          </cell>
          <cell r="J470" t="str">
            <v>형틀목공</v>
          </cell>
          <cell r="K470" t="str">
            <v>김광일팀</v>
          </cell>
          <cell r="O470">
            <v>43618</v>
          </cell>
          <cell r="R470">
            <v>46203</v>
          </cell>
          <cell r="S470">
            <v>46203</v>
          </cell>
          <cell r="T470">
            <v>46203</v>
          </cell>
          <cell r="U470" t="str">
            <v>EB4933852</v>
          </cell>
          <cell r="V470" t="str">
            <v>형틀목공</v>
          </cell>
          <cell r="W470" t="str">
            <v>중국</v>
          </cell>
        </row>
        <row r="471">
          <cell r="A471" t="str">
            <v>연성옥</v>
          </cell>
          <cell r="B471" t="str">
            <v>원주시 명륜동 821-4</v>
          </cell>
          <cell r="C471" t="str">
            <v>840211-5</v>
          </cell>
          <cell r="D471" t="str">
            <v>010-6879-8288</v>
          </cell>
          <cell r="E471">
            <v>260000</v>
          </cell>
          <cell r="F471" t="str">
            <v>남</v>
          </cell>
          <cell r="G471">
            <v>43</v>
          </cell>
          <cell r="H471" t="str">
            <v>외국인</v>
          </cell>
          <cell r="I471" t="str">
            <v>YAN CHENGYU</v>
          </cell>
          <cell r="J471" t="str">
            <v>형틀목공</v>
          </cell>
          <cell r="K471" t="str">
            <v>김광일팀</v>
          </cell>
          <cell r="O471">
            <v>44074</v>
          </cell>
          <cell r="R471">
            <v>46203</v>
          </cell>
          <cell r="S471">
            <v>46203</v>
          </cell>
          <cell r="T471">
            <v>46203</v>
          </cell>
          <cell r="U471" t="str">
            <v>E89970524</v>
          </cell>
          <cell r="V471" t="str">
            <v>형틀목공</v>
          </cell>
          <cell r="W471" t="str">
            <v>중국</v>
          </cell>
        </row>
        <row r="472">
          <cell r="A472" t="str">
            <v>왕수론</v>
          </cell>
          <cell r="B472" t="str">
            <v>원주시 명륜동 821-4</v>
          </cell>
          <cell r="C472" t="str">
            <v>790429-5</v>
          </cell>
          <cell r="D472" t="str">
            <v>010-5691-1618</v>
          </cell>
          <cell r="E472">
            <v>260000</v>
          </cell>
          <cell r="F472" t="str">
            <v>남</v>
          </cell>
          <cell r="G472">
            <v>48</v>
          </cell>
          <cell r="H472" t="str">
            <v>외국인</v>
          </cell>
          <cell r="I472" t="str">
            <v>WANG SHULUN</v>
          </cell>
          <cell r="J472" t="str">
            <v>형틀목공</v>
          </cell>
          <cell r="K472" t="str">
            <v>김광일팀</v>
          </cell>
          <cell r="O472">
            <v>43784</v>
          </cell>
          <cell r="R472">
            <v>46203</v>
          </cell>
          <cell r="S472">
            <v>46203</v>
          </cell>
          <cell r="T472">
            <v>46203</v>
          </cell>
          <cell r="U472" t="str">
            <v>EF5950637</v>
          </cell>
          <cell r="V472" t="str">
            <v>형틀목공</v>
          </cell>
          <cell r="W472" t="str">
            <v>중국</v>
          </cell>
        </row>
        <row r="473">
          <cell r="A473" t="str">
            <v>조청화</v>
          </cell>
          <cell r="B473" t="str">
            <v>원주시 명륜동 821-4</v>
          </cell>
          <cell r="C473" t="str">
            <v>831221-5</v>
          </cell>
          <cell r="D473" t="str">
            <v>010-2308-8523</v>
          </cell>
          <cell r="E473">
            <v>260000</v>
          </cell>
          <cell r="F473" t="str">
            <v>남</v>
          </cell>
          <cell r="G473">
            <v>44</v>
          </cell>
          <cell r="H473" t="str">
            <v>외국인</v>
          </cell>
          <cell r="I473" t="str">
            <v>ZHAO QINGHUA</v>
          </cell>
          <cell r="J473" t="str">
            <v>형틀목공</v>
          </cell>
          <cell r="K473" t="str">
            <v>김광일팀</v>
          </cell>
          <cell r="O473">
            <v>43177</v>
          </cell>
          <cell r="R473">
            <v>46203</v>
          </cell>
          <cell r="S473">
            <v>46203</v>
          </cell>
          <cell r="T473">
            <v>46203</v>
          </cell>
          <cell r="U473" t="str">
            <v>E93184016</v>
          </cell>
          <cell r="V473" t="str">
            <v>형틀목공</v>
          </cell>
          <cell r="W473" t="str">
            <v>중국</v>
          </cell>
        </row>
        <row r="474">
          <cell r="A474" t="str">
            <v>주영광</v>
          </cell>
          <cell r="B474" t="str">
            <v>원주시 명륜동 821-4</v>
          </cell>
          <cell r="C474" t="str">
            <v>801013-5</v>
          </cell>
          <cell r="D474" t="str">
            <v>010-7924-6377</v>
          </cell>
          <cell r="E474">
            <v>260000</v>
          </cell>
          <cell r="F474" t="str">
            <v>남</v>
          </cell>
          <cell r="G474">
            <v>47</v>
          </cell>
          <cell r="H474" t="str">
            <v>외국인</v>
          </cell>
          <cell r="I474" t="str">
            <v>ZHU YONGGANG</v>
          </cell>
          <cell r="J474" t="str">
            <v>형틀목공</v>
          </cell>
          <cell r="K474" t="str">
            <v>김광일팀</v>
          </cell>
          <cell r="O474">
            <v>43724</v>
          </cell>
          <cell r="R474">
            <v>46203</v>
          </cell>
          <cell r="S474">
            <v>46203</v>
          </cell>
          <cell r="T474">
            <v>46203</v>
          </cell>
          <cell r="U474" t="str">
            <v>E95031004</v>
          </cell>
          <cell r="V474" t="str">
            <v>형틀목공</v>
          </cell>
          <cell r="W474" t="str">
            <v>중국</v>
          </cell>
        </row>
        <row r="475">
          <cell r="A475" t="str">
            <v>호소핑</v>
          </cell>
          <cell r="B475" t="str">
            <v>원주시 명륜동 821-4</v>
          </cell>
          <cell r="C475" t="str">
            <v>870910-5</v>
          </cell>
          <cell r="D475" t="str">
            <v>010-8218-7199</v>
          </cell>
          <cell r="E475">
            <v>260000</v>
          </cell>
          <cell r="F475" t="str">
            <v>남</v>
          </cell>
          <cell r="G475">
            <v>40</v>
          </cell>
          <cell r="H475" t="str">
            <v>외국인</v>
          </cell>
          <cell r="I475" t="str">
            <v>HU SHAOPING</v>
          </cell>
          <cell r="J475" t="str">
            <v>형틀목공</v>
          </cell>
          <cell r="K475" t="str">
            <v>김광일팀</v>
          </cell>
          <cell r="O475">
            <v>43227</v>
          </cell>
          <cell r="R475">
            <v>46203</v>
          </cell>
          <cell r="S475">
            <v>46203</v>
          </cell>
          <cell r="T475">
            <v>46203</v>
          </cell>
          <cell r="U475" t="str">
            <v>EN0453522</v>
          </cell>
          <cell r="V475" t="str">
            <v>형틀목공</v>
          </cell>
          <cell r="W475" t="str">
            <v>중국</v>
          </cell>
        </row>
        <row r="476">
          <cell r="A476" t="str">
            <v>송성동</v>
          </cell>
          <cell r="B476" t="str">
            <v>강릉시 하평5길 7-1</v>
          </cell>
          <cell r="C476" t="str">
            <v>760504-5</v>
          </cell>
          <cell r="D476" t="str">
            <v>010-5651-8194</v>
          </cell>
          <cell r="E476">
            <v>260000</v>
          </cell>
          <cell r="F476" t="str">
            <v>남</v>
          </cell>
          <cell r="G476">
            <v>51</v>
          </cell>
          <cell r="H476" t="str">
            <v>외국인</v>
          </cell>
          <cell r="I476" t="str">
            <v>SONG CHENGDONG</v>
          </cell>
          <cell r="J476" t="str">
            <v>형틀목공</v>
          </cell>
          <cell r="K476" t="str">
            <v>김광일팀</v>
          </cell>
          <cell r="O476">
            <v>41239</v>
          </cell>
          <cell r="R476">
            <v>46219</v>
          </cell>
          <cell r="S476">
            <v>46219</v>
          </cell>
          <cell r="T476">
            <v>46219</v>
          </cell>
          <cell r="U476" t="str">
            <v>EC6196421</v>
          </cell>
          <cell r="V476" t="str">
            <v>형틀목공</v>
          </cell>
          <cell r="W476" t="str">
            <v>중국</v>
          </cell>
        </row>
        <row r="477">
          <cell r="F477" t="str">
            <v/>
          </cell>
          <cell r="G477" t="str">
            <v/>
          </cell>
          <cell r="H477" t="str">
            <v/>
          </cell>
          <cell r="Q477" t="str">
            <v/>
          </cell>
        </row>
        <row r="478">
          <cell r="F478" t="str">
            <v/>
          </cell>
          <cell r="G478" t="str">
            <v/>
          </cell>
          <cell r="H478" t="str">
            <v/>
          </cell>
          <cell r="Q478" t="str">
            <v/>
          </cell>
        </row>
        <row r="479">
          <cell r="F479" t="str">
            <v/>
          </cell>
          <cell r="G479" t="str">
            <v/>
          </cell>
          <cell r="H479" t="str">
            <v/>
          </cell>
          <cell r="Q479" t="str">
            <v/>
          </cell>
        </row>
        <row r="480">
          <cell r="A480" t="str">
            <v>강춘일</v>
          </cell>
          <cell r="B480" t="str">
            <v>충북 음성군 금왕읍 금석로7,101-703</v>
          </cell>
          <cell r="C480" t="str">
            <v>710909-1392420</v>
          </cell>
          <cell r="D480" t="str">
            <v>010-6231-7283</v>
          </cell>
          <cell r="E480">
            <v>220000</v>
          </cell>
          <cell r="F480" t="str">
            <v>남</v>
          </cell>
          <cell r="G480">
            <v>56</v>
          </cell>
          <cell r="H480" t="str">
            <v>-</v>
          </cell>
          <cell r="J480" t="str">
            <v>형틀목공</v>
          </cell>
          <cell r="K480" t="str">
            <v>강춘일팀</v>
          </cell>
          <cell r="L480" t="str">
            <v>356-0670-1260-13</v>
          </cell>
          <cell r="M480" t="str">
            <v>농협은행</v>
          </cell>
          <cell r="N480" t="str">
            <v>강춘일</v>
          </cell>
          <cell r="O480">
            <v>42634</v>
          </cell>
          <cell r="Q480" t="str">
            <v/>
          </cell>
          <cell r="R480">
            <v>45929</v>
          </cell>
          <cell r="S480">
            <v>45929</v>
          </cell>
          <cell r="T480">
            <v>45929</v>
          </cell>
          <cell r="V480" t="str">
            <v>형틀목공</v>
          </cell>
        </row>
        <row r="481">
          <cell r="A481" t="str">
            <v>허욱철</v>
          </cell>
          <cell r="B481" t="str">
            <v>용인시 처인구 금학로357번길20,301</v>
          </cell>
          <cell r="C481" t="str">
            <v>800521-5300299</v>
          </cell>
          <cell r="D481" t="str">
            <v>010-7279-5388</v>
          </cell>
          <cell r="E481">
            <v>210000</v>
          </cell>
          <cell r="F481" t="str">
            <v>남</v>
          </cell>
          <cell r="G481">
            <v>47</v>
          </cell>
          <cell r="H481" t="str">
            <v>외국인</v>
          </cell>
          <cell r="I481" t="str">
            <v>XUXUZHE</v>
          </cell>
          <cell r="J481" t="str">
            <v>형틀목공</v>
          </cell>
          <cell r="K481" t="str">
            <v>강춘일팀</v>
          </cell>
          <cell r="L481" t="str">
            <v>312-0152-2031-11</v>
          </cell>
          <cell r="M481" t="str">
            <v>농협은행</v>
          </cell>
          <cell r="N481" t="str">
            <v>허욱철</v>
          </cell>
          <cell r="O481">
            <v>45177</v>
          </cell>
          <cell r="P481" t="str">
            <v>영주F5</v>
          </cell>
          <cell r="Q481">
            <v>47386</v>
          </cell>
          <cell r="R481">
            <v>45929</v>
          </cell>
          <cell r="S481">
            <v>45929</v>
          </cell>
          <cell r="T481">
            <v>45929</v>
          </cell>
          <cell r="V481" t="str">
            <v>형틀목공</v>
          </cell>
          <cell r="W481" t="str">
            <v>중국</v>
          </cell>
        </row>
        <row r="482">
          <cell r="A482" t="str">
            <v>정광군</v>
          </cell>
          <cell r="B482" t="str">
            <v>경기도 시흥시 클솔로56번길6,306호</v>
          </cell>
          <cell r="C482" t="str">
            <v>950216-5820213</v>
          </cell>
          <cell r="D482" t="str">
            <v>010-8857-8519</v>
          </cell>
          <cell r="E482">
            <v>210000</v>
          </cell>
          <cell r="F482" t="str">
            <v>남</v>
          </cell>
          <cell r="G482">
            <v>32</v>
          </cell>
          <cell r="H482" t="str">
            <v>외국인</v>
          </cell>
          <cell r="I482" t="str">
            <v>ZHENG GUANGJUN</v>
          </cell>
          <cell r="J482" t="str">
            <v>형틀목공</v>
          </cell>
          <cell r="K482" t="str">
            <v>강춘일팀</v>
          </cell>
          <cell r="L482" t="str">
            <v>1010-2735-4600</v>
          </cell>
          <cell r="M482" t="str">
            <v>수협은행</v>
          </cell>
          <cell r="N482" t="str">
            <v>(주)우민이엔지</v>
          </cell>
          <cell r="O482">
            <v>45885</v>
          </cell>
          <cell r="P482" t="str">
            <v>방문취업H2</v>
          </cell>
          <cell r="Q482">
            <v>46096</v>
          </cell>
          <cell r="R482">
            <v>45940</v>
          </cell>
          <cell r="S482">
            <v>45940</v>
          </cell>
          <cell r="T482">
            <v>45940</v>
          </cell>
          <cell r="V482" t="str">
            <v>형틀목공</v>
          </cell>
          <cell r="W482" t="str">
            <v>중국</v>
          </cell>
        </row>
        <row r="483">
          <cell r="A483" t="str">
            <v>김성철형</v>
          </cell>
          <cell r="B483" t="str">
            <v>서울특별시 구로구 구로동로21길 32-3</v>
          </cell>
          <cell r="C483" t="str">
            <v>730202-5103791</v>
          </cell>
          <cell r="D483" t="str">
            <v>010-2036-5257</v>
          </cell>
          <cell r="E483">
            <v>210000</v>
          </cell>
          <cell r="F483" t="str">
            <v>남</v>
          </cell>
          <cell r="G483">
            <v>54</v>
          </cell>
          <cell r="H483" t="str">
            <v>외국인</v>
          </cell>
          <cell r="I483" t="str">
            <v>JIN CHENGZHE</v>
          </cell>
          <cell r="J483" t="str">
            <v>형틀목공</v>
          </cell>
          <cell r="K483" t="str">
            <v>강춘일팀</v>
          </cell>
          <cell r="L483" t="str">
            <v>1002-958-033767</v>
          </cell>
          <cell r="M483" t="str">
            <v>우리은행</v>
          </cell>
          <cell r="N483" t="str">
            <v>JIN CHENGZHE</v>
          </cell>
          <cell r="O483">
            <v>43165</v>
          </cell>
          <cell r="P483" t="str">
            <v>재외동포F4</v>
          </cell>
          <cell r="Q483">
            <v>46772</v>
          </cell>
          <cell r="R483">
            <v>45944</v>
          </cell>
          <cell r="S483">
            <v>45944</v>
          </cell>
          <cell r="T483">
            <v>45944</v>
          </cell>
          <cell r="V483" t="str">
            <v>형틀목공</v>
          </cell>
          <cell r="W483" t="str">
            <v>중국</v>
          </cell>
        </row>
        <row r="484">
          <cell r="A484" t="str">
            <v>전명호</v>
          </cell>
          <cell r="B484" t="str">
            <v>경기도 용인시 수지구 정든로14번길 죽전정다움 602호(죽전동)</v>
          </cell>
          <cell r="C484" t="str">
            <v>841024-5320205</v>
          </cell>
          <cell r="D484" t="str">
            <v>010-8498-8417</v>
          </cell>
          <cell r="E484">
            <v>210000</v>
          </cell>
          <cell r="F484" t="str">
            <v>남</v>
          </cell>
          <cell r="G484">
            <v>43</v>
          </cell>
          <cell r="H484" t="str">
            <v>외국인</v>
          </cell>
          <cell r="I484" t="str">
            <v>QUAN MINGHAO</v>
          </cell>
          <cell r="J484" t="str">
            <v>형틀목공</v>
          </cell>
          <cell r="K484" t="str">
            <v>강춘일팀</v>
          </cell>
          <cell r="L484" t="str">
            <v>124-910543-33107</v>
          </cell>
          <cell r="M484" t="str">
            <v>하나은행</v>
          </cell>
          <cell r="N484" t="str">
            <v>QUAN MINGHAO</v>
          </cell>
          <cell r="O484">
            <v>45369</v>
          </cell>
          <cell r="P484" t="str">
            <v>방문취업H2</v>
          </cell>
          <cell r="Q484">
            <v>46414</v>
          </cell>
          <cell r="R484">
            <v>45944</v>
          </cell>
          <cell r="S484">
            <v>45944</v>
          </cell>
          <cell r="T484">
            <v>45944</v>
          </cell>
          <cell r="V484" t="str">
            <v>형틀목공</v>
          </cell>
          <cell r="W484" t="str">
            <v>중국</v>
          </cell>
        </row>
        <row r="485">
          <cell r="A485" t="str">
            <v>한정근</v>
          </cell>
          <cell r="B485" t="str">
            <v>서울 구로구 구로중앙로19나길42,101호</v>
          </cell>
          <cell r="C485" t="str">
            <v>631113-5920028</v>
          </cell>
          <cell r="D485" t="str">
            <v>010-8353-1963</v>
          </cell>
          <cell r="E485">
            <v>210000</v>
          </cell>
          <cell r="F485" t="str">
            <v>남</v>
          </cell>
          <cell r="G485">
            <v>64</v>
          </cell>
          <cell r="H485" t="str">
            <v>외국인</v>
          </cell>
          <cell r="I485" t="str">
            <v>HAN ZHENGGEN</v>
          </cell>
          <cell r="J485" t="str">
            <v>형틀목공</v>
          </cell>
          <cell r="K485" t="str">
            <v>강춘일팀</v>
          </cell>
          <cell r="L485" t="str">
            <v>1010-2735-4600</v>
          </cell>
          <cell r="M485" t="str">
            <v>수협은행</v>
          </cell>
          <cell r="N485" t="str">
            <v>(주)우민이엔지</v>
          </cell>
          <cell r="O485">
            <v>42614</v>
          </cell>
          <cell r="P485" t="str">
            <v>재외동포F4</v>
          </cell>
          <cell r="Q485">
            <v>46382</v>
          </cell>
          <cell r="R485">
            <v>45987</v>
          </cell>
          <cell r="S485">
            <v>45987</v>
          </cell>
          <cell r="T485">
            <v>45987</v>
          </cell>
          <cell r="V485" t="str">
            <v>형틀목공</v>
          </cell>
          <cell r="W485" t="str">
            <v>중국</v>
          </cell>
        </row>
        <row r="486">
          <cell r="A486" t="str">
            <v>최길성</v>
          </cell>
          <cell r="B486" t="str">
            <v>서울 구로구 가마산로20다길8-4,4호</v>
          </cell>
          <cell r="C486" t="str">
            <v>680909-5180893</v>
          </cell>
          <cell r="D486" t="str">
            <v>010-5602-8018</v>
          </cell>
          <cell r="E486">
            <v>210000</v>
          </cell>
          <cell r="F486" t="str">
            <v>남</v>
          </cell>
          <cell r="G486">
            <v>59</v>
          </cell>
          <cell r="H486" t="str">
            <v>외국인</v>
          </cell>
          <cell r="I486" t="str">
            <v>CUI JIXING</v>
          </cell>
          <cell r="J486" t="str">
            <v>형틀목공</v>
          </cell>
          <cell r="K486" t="str">
            <v>강춘일팀</v>
          </cell>
          <cell r="L486" t="str">
            <v>1010-2735-4600</v>
          </cell>
          <cell r="M486" t="str">
            <v>수협은행</v>
          </cell>
          <cell r="N486" t="str">
            <v>(주)우민이엔지</v>
          </cell>
          <cell r="O486">
            <v>43860</v>
          </cell>
          <cell r="P486" t="str">
            <v>방문취업H2</v>
          </cell>
          <cell r="Q486">
            <v>46645</v>
          </cell>
          <cell r="R486">
            <v>45987</v>
          </cell>
          <cell r="S486">
            <v>45987</v>
          </cell>
          <cell r="T486">
            <v>45987</v>
          </cell>
          <cell r="V486" t="str">
            <v>형틀목공</v>
          </cell>
          <cell r="W486" t="str">
            <v>중국</v>
          </cell>
        </row>
        <row r="487">
          <cell r="A487" t="str">
            <v>유명동</v>
          </cell>
          <cell r="B487" t="str">
            <v>서울 구로구 가마산로4길 8, 201호</v>
          </cell>
          <cell r="C487" t="str">
            <v>700830-5780020</v>
          </cell>
          <cell r="D487" t="str">
            <v>010-8126-1898</v>
          </cell>
          <cell r="E487">
            <v>210000</v>
          </cell>
          <cell r="F487" t="str">
            <v>남</v>
          </cell>
          <cell r="G487">
            <v>57</v>
          </cell>
          <cell r="H487" t="str">
            <v>외국인</v>
          </cell>
          <cell r="I487" t="str">
            <v>LIU MEIDONG</v>
          </cell>
          <cell r="J487" t="str">
            <v>형틀목공</v>
          </cell>
          <cell r="K487" t="str">
            <v>강춘일팀</v>
          </cell>
          <cell r="L487" t="str">
            <v>1010-2735-4600</v>
          </cell>
          <cell r="M487" t="str">
            <v>수협은행</v>
          </cell>
          <cell r="N487" t="str">
            <v>(주)우민이엔지</v>
          </cell>
          <cell r="O487">
            <v>42303</v>
          </cell>
          <cell r="P487" t="str">
            <v>영주F5</v>
          </cell>
          <cell r="Q487">
            <v>49456</v>
          </cell>
          <cell r="R487">
            <v>45987</v>
          </cell>
          <cell r="S487">
            <v>45987</v>
          </cell>
          <cell r="T487">
            <v>45987</v>
          </cell>
          <cell r="V487" t="str">
            <v>형틀목공</v>
          </cell>
          <cell r="W487" t="str">
            <v>중국</v>
          </cell>
        </row>
        <row r="488">
          <cell r="A488" t="str">
            <v>김보영</v>
          </cell>
          <cell r="F488" t="str">
            <v/>
          </cell>
          <cell r="G488" t="str">
            <v/>
          </cell>
          <cell r="H488" t="str">
            <v/>
          </cell>
          <cell r="Q488" t="str">
            <v/>
          </cell>
        </row>
        <row r="489">
          <cell r="A489" t="str">
            <v>김성봉</v>
          </cell>
          <cell r="B489" t="str">
            <v>서울 금천구 시흥대로 104 나길7</v>
          </cell>
          <cell r="C489" t="str">
            <v>621116-5101897</v>
          </cell>
          <cell r="D489" t="str">
            <v>010-8318-8896</v>
          </cell>
          <cell r="E489">
            <v>210000</v>
          </cell>
          <cell r="F489" t="str">
            <v>남</v>
          </cell>
          <cell r="G489">
            <v>65</v>
          </cell>
          <cell r="H489" t="str">
            <v>외국인</v>
          </cell>
          <cell r="I489" t="str">
            <v>JIN CHENGFENG</v>
          </cell>
          <cell r="J489" t="str">
            <v>형틀목공</v>
          </cell>
          <cell r="K489" t="str">
            <v>강춘일팀</v>
          </cell>
          <cell r="O489">
            <v>43523</v>
          </cell>
          <cell r="P489" t="str">
            <v>재외동포F4</v>
          </cell>
          <cell r="Q489">
            <v>46278</v>
          </cell>
          <cell r="R489">
            <v>46048</v>
          </cell>
          <cell r="S489">
            <v>46048</v>
          </cell>
          <cell r="T489">
            <v>46048</v>
          </cell>
          <cell r="V489" t="str">
            <v>형틀목공</v>
          </cell>
          <cell r="W489" t="str">
            <v>중국</v>
          </cell>
        </row>
        <row r="490">
          <cell r="F490" t="str">
            <v/>
          </cell>
          <cell r="G490" t="str">
            <v/>
          </cell>
          <cell r="H490" t="str">
            <v/>
          </cell>
          <cell r="Q490" t="str">
            <v/>
          </cell>
        </row>
        <row r="491">
          <cell r="F491" t="str">
            <v/>
          </cell>
          <cell r="G491" t="str">
            <v/>
          </cell>
          <cell r="H491" t="str">
            <v/>
          </cell>
          <cell r="Q491" t="str">
            <v/>
          </cell>
        </row>
        <row r="492">
          <cell r="F492" t="str">
            <v/>
          </cell>
          <cell r="G492" t="str">
            <v/>
          </cell>
          <cell r="H492" t="str">
            <v/>
          </cell>
          <cell r="Q492" t="str">
            <v/>
          </cell>
        </row>
        <row r="493">
          <cell r="F493" t="str">
            <v/>
          </cell>
          <cell r="G493" t="str">
            <v/>
          </cell>
          <cell r="H493" t="str">
            <v/>
          </cell>
          <cell r="Q493" t="str">
            <v/>
          </cell>
        </row>
        <row r="494">
          <cell r="A494" t="str">
            <v>응웬후닷</v>
          </cell>
          <cell r="C494" t="str">
            <v>000701-5</v>
          </cell>
          <cell r="D494" t="str">
            <v>010-9523-2638</v>
          </cell>
          <cell r="E494">
            <v>210000</v>
          </cell>
          <cell r="F494" t="str">
            <v>남</v>
          </cell>
          <cell r="G494">
            <v>27</v>
          </cell>
          <cell r="H494" t="str">
            <v>외국인</v>
          </cell>
          <cell r="I494" t="str">
            <v>NGUYEN HUU DAT</v>
          </cell>
          <cell r="J494" t="str">
            <v>형틀목공</v>
          </cell>
          <cell r="K494" t="str">
            <v>강춘일팀</v>
          </cell>
          <cell r="O494">
            <v>43976</v>
          </cell>
          <cell r="Q494" t="str">
            <v/>
          </cell>
          <cell r="R494">
            <v>45982</v>
          </cell>
          <cell r="S494">
            <v>45982</v>
          </cell>
          <cell r="T494">
            <v>45982</v>
          </cell>
          <cell r="U494" t="str">
            <v>P00084779</v>
          </cell>
          <cell r="V494" t="str">
            <v>형틀목공</v>
          </cell>
          <cell r="W494" t="str">
            <v>베트남</v>
          </cell>
        </row>
        <row r="495">
          <cell r="A495" t="str">
            <v>칸호아</v>
          </cell>
          <cell r="C495" t="str">
            <v>040612-5</v>
          </cell>
          <cell r="D495" t="str">
            <v>010-7990-6916</v>
          </cell>
          <cell r="E495">
            <v>210000</v>
          </cell>
          <cell r="F495" t="str">
            <v>남</v>
          </cell>
          <cell r="G495">
            <v>23</v>
          </cell>
          <cell r="H495" t="str">
            <v>외국인</v>
          </cell>
          <cell r="I495" t="str">
            <v>PHAM KHANH HOA</v>
          </cell>
          <cell r="J495" t="str">
            <v>형틀목공</v>
          </cell>
          <cell r="K495" t="str">
            <v>강춘일팀</v>
          </cell>
          <cell r="O495">
            <v>44820</v>
          </cell>
          <cell r="R495">
            <v>45982</v>
          </cell>
          <cell r="S495">
            <v>45982</v>
          </cell>
          <cell r="T495">
            <v>45982</v>
          </cell>
          <cell r="U495" t="str">
            <v>POO228610</v>
          </cell>
          <cell r="V495" t="str">
            <v>형틀목공</v>
          </cell>
          <cell r="W495" t="str">
            <v>베트남</v>
          </cell>
        </row>
        <row r="496">
          <cell r="A496" t="str">
            <v>황후타이</v>
          </cell>
          <cell r="C496" t="str">
            <v>950103-5</v>
          </cell>
          <cell r="D496" t="str">
            <v>010-2832-6866</v>
          </cell>
          <cell r="E496">
            <v>210000</v>
          </cell>
          <cell r="F496" t="str">
            <v>남</v>
          </cell>
          <cell r="G496">
            <v>32</v>
          </cell>
          <cell r="H496" t="str">
            <v>외국인</v>
          </cell>
          <cell r="I496" t="str">
            <v>HOANG HUU THAI</v>
          </cell>
          <cell r="J496" t="str">
            <v>형틀목공</v>
          </cell>
          <cell r="K496" t="str">
            <v>강춘일팀</v>
          </cell>
          <cell r="O496">
            <v>43760</v>
          </cell>
          <cell r="R496">
            <v>45982</v>
          </cell>
          <cell r="S496">
            <v>45982</v>
          </cell>
          <cell r="T496">
            <v>45982</v>
          </cell>
          <cell r="U496" t="str">
            <v>KOO40555</v>
          </cell>
          <cell r="V496" t="str">
            <v>형틀목공</v>
          </cell>
          <cell r="W496" t="str">
            <v>베트남</v>
          </cell>
        </row>
        <row r="497">
          <cell r="A497" t="str">
            <v>카오응옥선</v>
          </cell>
          <cell r="C497" t="str">
            <v>920905-5</v>
          </cell>
          <cell r="D497" t="str">
            <v>010-3927-0588</v>
          </cell>
          <cell r="E497">
            <v>210000</v>
          </cell>
          <cell r="F497" t="str">
            <v>남</v>
          </cell>
          <cell r="G497">
            <v>35</v>
          </cell>
          <cell r="H497" t="str">
            <v>외국인</v>
          </cell>
          <cell r="I497" t="str">
            <v>CAO NGOC SON</v>
          </cell>
          <cell r="J497" t="str">
            <v>형틀목공</v>
          </cell>
          <cell r="K497" t="str">
            <v>강춘일팀</v>
          </cell>
          <cell r="O497">
            <v>43192</v>
          </cell>
          <cell r="R497">
            <v>45982</v>
          </cell>
          <cell r="S497">
            <v>45982</v>
          </cell>
          <cell r="T497">
            <v>45982</v>
          </cell>
          <cell r="U497" t="str">
            <v>P00624916</v>
          </cell>
          <cell r="V497" t="str">
            <v>형틀목공</v>
          </cell>
          <cell r="W497" t="str">
            <v>베트남</v>
          </cell>
        </row>
        <row r="498">
          <cell r="A498" t="str">
            <v>버공진</v>
          </cell>
          <cell r="C498" t="str">
            <v>921005-5</v>
          </cell>
          <cell r="D498" t="str">
            <v>010-8099-3293</v>
          </cell>
          <cell r="E498">
            <v>210000</v>
          </cell>
          <cell r="F498" t="str">
            <v>남</v>
          </cell>
          <cell r="G498">
            <v>35</v>
          </cell>
          <cell r="H498" t="str">
            <v>외국인</v>
          </cell>
          <cell r="I498" t="str">
            <v>VO CONG TRINH</v>
          </cell>
          <cell r="J498" t="str">
            <v>형틀목공</v>
          </cell>
          <cell r="K498" t="str">
            <v>강춘일팀</v>
          </cell>
          <cell r="O498">
            <v>44915</v>
          </cell>
          <cell r="R498">
            <v>45982</v>
          </cell>
          <cell r="S498">
            <v>45982</v>
          </cell>
          <cell r="T498">
            <v>45982</v>
          </cell>
          <cell r="U498" t="str">
            <v>C3229183</v>
          </cell>
          <cell r="V498" t="str">
            <v>형틀목공</v>
          </cell>
          <cell r="W498" t="str">
            <v>베트남</v>
          </cell>
        </row>
        <row r="499">
          <cell r="A499" t="str">
            <v>웬휴휸</v>
          </cell>
          <cell r="B499" t="str">
            <v>서울시 구로구 구로동</v>
          </cell>
          <cell r="C499" t="str">
            <v>890323-5</v>
          </cell>
          <cell r="D499" t="str">
            <v>010-7258-0689</v>
          </cell>
          <cell r="E499">
            <v>210000</v>
          </cell>
          <cell r="F499" t="str">
            <v>남</v>
          </cell>
          <cell r="G499">
            <v>38</v>
          </cell>
          <cell r="H499" t="str">
            <v>외국인</v>
          </cell>
          <cell r="I499" t="str">
            <v>NGUYEN HUU HUYNH</v>
          </cell>
          <cell r="J499" t="str">
            <v>형틀목공</v>
          </cell>
          <cell r="K499" t="str">
            <v>강춘일팀</v>
          </cell>
          <cell r="O499">
            <v>43499</v>
          </cell>
          <cell r="R499">
            <v>45992</v>
          </cell>
          <cell r="S499">
            <v>45992</v>
          </cell>
          <cell r="T499">
            <v>45992</v>
          </cell>
          <cell r="U499" t="str">
            <v>P02814884</v>
          </cell>
          <cell r="V499" t="str">
            <v>형틀목공</v>
          </cell>
          <cell r="W499" t="str">
            <v>베트남</v>
          </cell>
        </row>
        <row r="500">
          <cell r="A500" t="str">
            <v>왕해랑</v>
          </cell>
          <cell r="B500" t="str">
            <v>원주시 상지대길58-5</v>
          </cell>
          <cell r="C500" t="str">
            <v>840207-5</v>
          </cell>
          <cell r="D500" t="str">
            <v>010-7401-6075</v>
          </cell>
          <cell r="E500">
            <v>210000</v>
          </cell>
          <cell r="F500" t="str">
            <v>남</v>
          </cell>
          <cell r="G500">
            <v>43</v>
          </cell>
          <cell r="H500" t="str">
            <v>외국인</v>
          </cell>
          <cell r="I500" t="str">
            <v>WANG HAIWANG</v>
          </cell>
          <cell r="J500" t="str">
            <v>형틀목공</v>
          </cell>
          <cell r="K500" t="str">
            <v>강춘일팀</v>
          </cell>
          <cell r="O500">
            <v>43603</v>
          </cell>
          <cell r="R500">
            <v>45992</v>
          </cell>
          <cell r="S500">
            <v>45992</v>
          </cell>
          <cell r="T500">
            <v>45992</v>
          </cell>
          <cell r="U500" t="str">
            <v>E75306157</v>
          </cell>
          <cell r="V500" t="str">
            <v>형틀목공</v>
          </cell>
          <cell r="W500" t="str">
            <v>베트남</v>
          </cell>
        </row>
        <row r="501">
          <cell r="A501" t="str">
            <v>황마보우</v>
          </cell>
          <cell r="B501" t="str">
            <v>경남 김해시 인제로 197 양현재104</v>
          </cell>
          <cell r="C501" t="str">
            <v>050717-7710013</v>
          </cell>
          <cell r="D501" t="str">
            <v>010-7698-1307</v>
          </cell>
          <cell r="E501">
            <v>210000</v>
          </cell>
          <cell r="F501" t="str">
            <v>남</v>
          </cell>
          <cell r="G501">
            <v>122</v>
          </cell>
          <cell r="H501" t="str">
            <v>외국인</v>
          </cell>
          <cell r="I501" t="str">
            <v>HOANG MAI BAO</v>
          </cell>
          <cell r="J501" t="str">
            <v>형틀목공</v>
          </cell>
          <cell r="K501" t="str">
            <v>강춘일팀</v>
          </cell>
          <cell r="O501">
            <v>44788</v>
          </cell>
          <cell r="P501" t="str">
            <v>일반연수D4</v>
          </cell>
          <cell r="Q501">
            <v>45623</v>
          </cell>
          <cell r="R501">
            <v>46025</v>
          </cell>
          <cell r="S501">
            <v>46025</v>
          </cell>
          <cell r="T501">
            <v>46025</v>
          </cell>
          <cell r="V501" t="str">
            <v>형틀목공</v>
          </cell>
          <cell r="W501" t="str">
            <v>베트남</v>
          </cell>
        </row>
        <row r="502">
          <cell r="A502" t="str">
            <v>장인해</v>
          </cell>
          <cell r="C502" t="str">
            <v>711215-5</v>
          </cell>
          <cell r="D502" t="str">
            <v>010-7271-3588</v>
          </cell>
          <cell r="E502">
            <v>210000</v>
          </cell>
          <cell r="F502" t="str">
            <v>남</v>
          </cell>
          <cell r="G502">
            <v>56</v>
          </cell>
          <cell r="H502" t="str">
            <v>외국인</v>
          </cell>
          <cell r="I502" t="str">
            <v>ZHANG YIHAI</v>
          </cell>
          <cell r="J502" t="str">
            <v>형틀목공</v>
          </cell>
          <cell r="K502" t="str">
            <v>강춘일팀</v>
          </cell>
          <cell r="O502">
            <v>44630</v>
          </cell>
          <cell r="Q502" t="str">
            <v/>
          </cell>
          <cell r="R502">
            <v>46038</v>
          </cell>
          <cell r="S502">
            <v>46038</v>
          </cell>
          <cell r="T502">
            <v>46038</v>
          </cell>
          <cell r="U502" t="str">
            <v>EJ5929554</v>
          </cell>
          <cell r="V502" t="str">
            <v>형틀목공</v>
          </cell>
          <cell r="W502" t="str">
            <v>중국</v>
          </cell>
        </row>
        <row r="503">
          <cell r="A503" t="str">
            <v>천태띵</v>
          </cell>
          <cell r="C503" t="str">
            <v>030426-5</v>
          </cell>
          <cell r="D503" t="str">
            <v>010-3957-9252</v>
          </cell>
          <cell r="E503">
            <v>210000</v>
          </cell>
          <cell r="F503" t="str">
            <v>남</v>
          </cell>
          <cell r="G503">
            <v>24</v>
          </cell>
          <cell r="H503" t="str">
            <v>외국인</v>
          </cell>
          <cell r="I503" t="str">
            <v>TRAN THE TINH</v>
          </cell>
          <cell r="J503" t="str">
            <v>형틀목공</v>
          </cell>
          <cell r="K503" t="str">
            <v>강춘일팀</v>
          </cell>
          <cell r="O503">
            <v>44420</v>
          </cell>
          <cell r="Q503" t="str">
            <v/>
          </cell>
          <cell r="R503">
            <v>46038</v>
          </cell>
          <cell r="S503">
            <v>46038</v>
          </cell>
          <cell r="T503">
            <v>46038</v>
          </cell>
          <cell r="U503" t="str">
            <v>C9925076</v>
          </cell>
          <cell r="V503" t="str">
            <v>형틀목공</v>
          </cell>
          <cell r="W503" t="str">
            <v>베트남</v>
          </cell>
        </row>
        <row r="504">
          <cell r="A504" t="str">
            <v>임철화</v>
          </cell>
          <cell r="C504" t="str">
            <v>680712-5</v>
          </cell>
          <cell r="D504" t="str">
            <v>010-2196-6886</v>
          </cell>
          <cell r="E504">
            <v>210000</v>
          </cell>
          <cell r="F504" t="str">
            <v>남</v>
          </cell>
          <cell r="G504">
            <v>59</v>
          </cell>
          <cell r="H504" t="str">
            <v>외국인</v>
          </cell>
          <cell r="I504" t="str">
            <v>LIN ZHEHUA</v>
          </cell>
          <cell r="J504" t="str">
            <v>형틀목공</v>
          </cell>
          <cell r="K504" t="str">
            <v>강춘일팀</v>
          </cell>
          <cell r="O504">
            <v>41093</v>
          </cell>
          <cell r="Q504" t="str">
            <v/>
          </cell>
          <cell r="R504">
            <v>46045</v>
          </cell>
          <cell r="S504">
            <v>46045</v>
          </cell>
          <cell r="T504">
            <v>46045</v>
          </cell>
          <cell r="U504" t="str">
            <v>EJ4142476</v>
          </cell>
          <cell r="V504" t="str">
            <v>형틀목공</v>
          </cell>
          <cell r="W504" t="str">
            <v>중국</v>
          </cell>
        </row>
        <row r="505">
          <cell r="F505" t="str">
            <v/>
          </cell>
          <cell r="G505" t="str">
            <v/>
          </cell>
          <cell r="H505" t="str">
            <v/>
          </cell>
          <cell r="Q505" t="str">
            <v/>
          </cell>
        </row>
        <row r="506">
          <cell r="F506" t="str">
            <v/>
          </cell>
          <cell r="G506" t="str">
            <v/>
          </cell>
          <cell r="H506" t="str">
            <v/>
          </cell>
          <cell r="Q506" t="str">
            <v/>
          </cell>
        </row>
        <row r="507">
          <cell r="F507" t="str">
            <v/>
          </cell>
          <cell r="G507" t="str">
            <v/>
          </cell>
          <cell r="H507" t="str">
            <v/>
          </cell>
          <cell r="Q507" t="str">
            <v/>
          </cell>
        </row>
        <row r="508">
          <cell r="F508" t="str">
            <v/>
          </cell>
          <cell r="G508" t="str">
            <v/>
          </cell>
          <cell r="H508" t="str">
            <v/>
          </cell>
          <cell r="Q508" t="str">
            <v/>
          </cell>
        </row>
        <row r="509">
          <cell r="A509" t="str">
            <v>진담타인</v>
          </cell>
          <cell r="C509" t="str">
            <v>841130-5</v>
          </cell>
          <cell r="D509" t="str">
            <v>010-8329-1973</v>
          </cell>
          <cell r="E509">
            <v>210000</v>
          </cell>
          <cell r="F509" t="str">
            <v>남</v>
          </cell>
          <cell r="G509">
            <v>43</v>
          </cell>
          <cell r="H509" t="str">
            <v>외국인</v>
          </cell>
          <cell r="I509" t="str">
            <v>TRINH DANG THANH</v>
          </cell>
          <cell r="J509" t="str">
            <v>형틀목공</v>
          </cell>
          <cell r="K509" t="str">
            <v>강춘일팀</v>
          </cell>
          <cell r="O509">
            <v>45091</v>
          </cell>
          <cell r="Q509" t="str">
            <v/>
          </cell>
          <cell r="R509">
            <v>45929</v>
          </cell>
          <cell r="S509">
            <v>45929</v>
          </cell>
          <cell r="T509">
            <v>45929</v>
          </cell>
          <cell r="U509" t="str">
            <v>N2140053</v>
          </cell>
          <cell r="V509" t="str">
            <v>형틀목공</v>
          </cell>
          <cell r="W509" t="str">
            <v>베트남</v>
          </cell>
        </row>
        <row r="510">
          <cell r="A510" t="str">
            <v>응옥박</v>
          </cell>
          <cell r="C510" t="str">
            <v>920813-5</v>
          </cell>
          <cell r="D510" t="str">
            <v>010-9968-5568</v>
          </cell>
          <cell r="E510">
            <v>210000</v>
          </cell>
          <cell r="F510" t="str">
            <v>남</v>
          </cell>
          <cell r="G510">
            <v>35</v>
          </cell>
          <cell r="H510" t="str">
            <v>외국인</v>
          </cell>
          <cell r="I510" t="str">
            <v>TRUONG NGOC BAC</v>
          </cell>
          <cell r="J510" t="str">
            <v>형틀목공</v>
          </cell>
          <cell r="K510" t="str">
            <v>강춘일팀</v>
          </cell>
          <cell r="O510">
            <v>43689</v>
          </cell>
          <cell r="Q510" t="str">
            <v/>
          </cell>
          <cell r="R510">
            <v>45929</v>
          </cell>
          <cell r="S510">
            <v>45929</v>
          </cell>
          <cell r="T510">
            <v>45929</v>
          </cell>
          <cell r="U510" t="str">
            <v>C9343157</v>
          </cell>
          <cell r="V510" t="str">
            <v>형틀목공</v>
          </cell>
          <cell r="W510" t="str">
            <v>베트남</v>
          </cell>
        </row>
        <row r="511">
          <cell r="A511" t="str">
            <v>팜반두이</v>
          </cell>
          <cell r="C511" t="str">
            <v>031130-5</v>
          </cell>
          <cell r="D511" t="str">
            <v>010-5909-3979</v>
          </cell>
          <cell r="E511">
            <v>210000</v>
          </cell>
          <cell r="F511" t="str">
            <v>남</v>
          </cell>
          <cell r="G511">
            <v>24</v>
          </cell>
          <cell r="H511" t="str">
            <v>외국인</v>
          </cell>
          <cell r="I511" t="str">
            <v>PHAM VAN DUY</v>
          </cell>
          <cell r="J511" t="str">
            <v>형틀목공</v>
          </cell>
          <cell r="K511" t="str">
            <v>강춘일팀</v>
          </cell>
          <cell r="O511">
            <v>44754</v>
          </cell>
          <cell r="Q511" t="str">
            <v/>
          </cell>
          <cell r="R511">
            <v>45929</v>
          </cell>
          <cell r="S511">
            <v>45929</v>
          </cell>
          <cell r="T511">
            <v>45929</v>
          </cell>
          <cell r="U511" t="str">
            <v>C9854699</v>
          </cell>
          <cell r="V511" t="str">
            <v>형틀목공</v>
          </cell>
          <cell r="W511" t="str">
            <v>베트남</v>
          </cell>
        </row>
        <row r="512">
          <cell r="A512" t="str">
            <v>반두안</v>
          </cell>
          <cell r="C512" t="str">
            <v>900124-5</v>
          </cell>
          <cell r="D512" t="str">
            <v>010-6699-4968</v>
          </cell>
          <cell r="E512">
            <v>210000</v>
          </cell>
          <cell r="F512" t="str">
            <v>남</v>
          </cell>
          <cell r="G512">
            <v>37</v>
          </cell>
          <cell r="H512" t="str">
            <v>외국인</v>
          </cell>
          <cell r="I512" t="str">
            <v>NGUYEN VAN TUAN</v>
          </cell>
          <cell r="J512" t="str">
            <v>형틀목공</v>
          </cell>
          <cell r="K512" t="str">
            <v>강춘일팀</v>
          </cell>
          <cell r="O512">
            <v>43635</v>
          </cell>
          <cell r="Q512" t="str">
            <v/>
          </cell>
          <cell r="R512">
            <v>45929</v>
          </cell>
          <cell r="S512">
            <v>45929</v>
          </cell>
          <cell r="T512">
            <v>45929</v>
          </cell>
          <cell r="U512" t="str">
            <v>Q00424017</v>
          </cell>
          <cell r="V512" t="str">
            <v>형틀목공</v>
          </cell>
          <cell r="W512" t="str">
            <v>베트남</v>
          </cell>
        </row>
        <row r="513">
          <cell r="A513" t="str">
            <v>웬반홍</v>
          </cell>
          <cell r="C513" t="str">
            <v>850206-5</v>
          </cell>
          <cell r="D513" t="str">
            <v>010-2284-2368</v>
          </cell>
          <cell r="E513">
            <v>210000</v>
          </cell>
          <cell r="F513" t="str">
            <v>남</v>
          </cell>
          <cell r="G513">
            <v>42</v>
          </cell>
          <cell r="H513" t="str">
            <v>외국인</v>
          </cell>
          <cell r="I513" t="str">
            <v>NGUYEN VAN HONG</v>
          </cell>
          <cell r="J513" t="str">
            <v>형틀목공</v>
          </cell>
          <cell r="K513" t="str">
            <v>강춘일팀</v>
          </cell>
          <cell r="O513">
            <v>43530</v>
          </cell>
          <cell r="Q513" t="str">
            <v/>
          </cell>
          <cell r="R513">
            <v>45929</v>
          </cell>
          <cell r="S513">
            <v>45929</v>
          </cell>
          <cell r="T513">
            <v>45929</v>
          </cell>
          <cell r="U513" t="str">
            <v>Q00480096</v>
          </cell>
          <cell r="V513" t="str">
            <v>형틀목공</v>
          </cell>
          <cell r="W513" t="str">
            <v>베트남</v>
          </cell>
        </row>
        <row r="514">
          <cell r="A514" t="str">
            <v>반트응</v>
          </cell>
          <cell r="C514" t="str">
            <v>880414-5</v>
          </cell>
          <cell r="D514" t="str">
            <v>010-8810-4174</v>
          </cell>
          <cell r="E514">
            <v>210000</v>
          </cell>
          <cell r="F514" t="str">
            <v>남</v>
          </cell>
          <cell r="G514">
            <v>39</v>
          </cell>
          <cell r="H514" t="str">
            <v>외국인</v>
          </cell>
          <cell r="I514" t="str">
            <v>NGUYEN VAN THUONG</v>
          </cell>
          <cell r="J514" t="str">
            <v>형틀목공</v>
          </cell>
          <cell r="K514" t="str">
            <v>강춘일팀</v>
          </cell>
          <cell r="O514">
            <v>44367</v>
          </cell>
          <cell r="Q514" t="str">
            <v/>
          </cell>
          <cell r="R514">
            <v>45929</v>
          </cell>
          <cell r="S514">
            <v>45929</v>
          </cell>
          <cell r="T514">
            <v>45929</v>
          </cell>
          <cell r="U514" t="str">
            <v>P00061386</v>
          </cell>
          <cell r="V514" t="str">
            <v>형틀목공</v>
          </cell>
          <cell r="W514" t="str">
            <v>베트남</v>
          </cell>
        </row>
        <row r="515">
          <cell r="A515" t="str">
            <v>웬홍디엔</v>
          </cell>
          <cell r="C515" t="str">
            <v>900417-5</v>
          </cell>
          <cell r="D515" t="str">
            <v>010-5803-9838</v>
          </cell>
          <cell r="E515">
            <v>210000</v>
          </cell>
          <cell r="F515" t="str">
            <v>남</v>
          </cell>
          <cell r="G515">
            <v>37</v>
          </cell>
          <cell r="H515" t="str">
            <v>외국인</v>
          </cell>
          <cell r="I515" t="str">
            <v>NGUYEN HONGDIEN</v>
          </cell>
          <cell r="J515" t="str">
            <v>형틀목공</v>
          </cell>
          <cell r="K515" t="str">
            <v>강춘일팀</v>
          </cell>
          <cell r="O515">
            <v>43570</v>
          </cell>
          <cell r="Q515" t="str">
            <v/>
          </cell>
          <cell r="R515">
            <v>45940</v>
          </cell>
          <cell r="S515">
            <v>45940</v>
          </cell>
          <cell r="T515">
            <v>45940</v>
          </cell>
          <cell r="U515" t="str">
            <v>N2087607</v>
          </cell>
          <cell r="V515" t="str">
            <v>형틀목공</v>
          </cell>
          <cell r="W515" t="str">
            <v>베트남</v>
          </cell>
        </row>
        <row r="516">
          <cell r="A516" t="str">
            <v>판득안</v>
          </cell>
          <cell r="C516" t="str">
            <v>921018-5</v>
          </cell>
          <cell r="D516" t="str">
            <v>010-9549-6668</v>
          </cell>
          <cell r="E516">
            <v>210000</v>
          </cell>
          <cell r="F516" t="str">
            <v>남</v>
          </cell>
          <cell r="G516">
            <v>35</v>
          </cell>
          <cell r="H516" t="str">
            <v>외국인</v>
          </cell>
          <cell r="I516" t="str">
            <v>PHAN DUCANH</v>
          </cell>
          <cell r="J516" t="str">
            <v>형틀목공</v>
          </cell>
          <cell r="K516" t="str">
            <v>강춘일팀</v>
          </cell>
          <cell r="O516">
            <v>43634</v>
          </cell>
          <cell r="Q516" t="str">
            <v/>
          </cell>
          <cell r="R516">
            <v>45940</v>
          </cell>
          <cell r="S516">
            <v>45940</v>
          </cell>
          <cell r="T516">
            <v>45940</v>
          </cell>
          <cell r="U516" t="str">
            <v>C4542950</v>
          </cell>
          <cell r="V516" t="str">
            <v>형틀목공</v>
          </cell>
          <cell r="W516" t="str">
            <v>베트남</v>
          </cell>
        </row>
        <row r="517">
          <cell r="A517" t="str">
            <v>당반딴</v>
          </cell>
          <cell r="C517" t="str">
            <v>830519-5</v>
          </cell>
          <cell r="D517" t="str">
            <v>010-7920-5628</v>
          </cell>
          <cell r="E517">
            <v>210000</v>
          </cell>
          <cell r="F517" t="str">
            <v>남</v>
          </cell>
          <cell r="G517">
            <v>44</v>
          </cell>
          <cell r="H517" t="str">
            <v>외국인</v>
          </cell>
          <cell r="I517" t="str">
            <v>DANG VANTAN</v>
          </cell>
          <cell r="J517" t="str">
            <v>형틀목공</v>
          </cell>
          <cell r="K517" t="str">
            <v>강춘일팀</v>
          </cell>
          <cell r="O517">
            <v>43960</v>
          </cell>
          <cell r="Q517" t="str">
            <v/>
          </cell>
          <cell r="R517">
            <v>45940</v>
          </cell>
          <cell r="S517">
            <v>45940</v>
          </cell>
          <cell r="T517">
            <v>45940</v>
          </cell>
          <cell r="U517" t="str">
            <v>P01100207</v>
          </cell>
          <cell r="V517" t="str">
            <v>형틀목공</v>
          </cell>
          <cell r="W517" t="str">
            <v>베트남</v>
          </cell>
        </row>
        <row r="518">
          <cell r="A518" t="str">
            <v>웬휴낭</v>
          </cell>
          <cell r="C518" t="str">
            <v>980318-5</v>
          </cell>
          <cell r="D518" t="str">
            <v>010-2375-1292</v>
          </cell>
          <cell r="E518">
            <v>210000</v>
          </cell>
          <cell r="F518" t="str">
            <v>남</v>
          </cell>
          <cell r="G518">
            <v>29</v>
          </cell>
          <cell r="H518" t="str">
            <v>외국인</v>
          </cell>
          <cell r="I518" t="str">
            <v>NGUYEN HUUNANG</v>
          </cell>
          <cell r="J518" t="str">
            <v>형틀목공</v>
          </cell>
          <cell r="K518" t="str">
            <v>강춘일팀</v>
          </cell>
          <cell r="O518">
            <v>44144</v>
          </cell>
          <cell r="Q518" t="str">
            <v/>
          </cell>
          <cell r="R518">
            <v>45940</v>
          </cell>
          <cell r="S518">
            <v>45940</v>
          </cell>
          <cell r="T518">
            <v>45940</v>
          </cell>
          <cell r="U518" t="str">
            <v>C3368910</v>
          </cell>
          <cell r="V518" t="str">
            <v>형틀목공</v>
          </cell>
          <cell r="W518" t="str">
            <v>베트남</v>
          </cell>
        </row>
        <row r="519">
          <cell r="A519" t="str">
            <v>웬탄빈</v>
          </cell>
          <cell r="C519" t="str">
            <v>770409-5</v>
          </cell>
          <cell r="D519" t="str">
            <v>010-8386-4996</v>
          </cell>
          <cell r="E519">
            <v>210000</v>
          </cell>
          <cell r="F519" t="str">
            <v>남</v>
          </cell>
          <cell r="G519">
            <v>50</v>
          </cell>
          <cell r="H519" t="str">
            <v>외국인</v>
          </cell>
          <cell r="I519" t="str">
            <v>NGUYEN THANHBINH</v>
          </cell>
          <cell r="J519" t="str">
            <v>형틀목공</v>
          </cell>
          <cell r="K519" t="str">
            <v>강춘일팀</v>
          </cell>
          <cell r="O519">
            <v>43636</v>
          </cell>
          <cell r="Q519" t="str">
            <v/>
          </cell>
          <cell r="R519">
            <v>45940</v>
          </cell>
          <cell r="S519">
            <v>45940</v>
          </cell>
          <cell r="T519">
            <v>45940</v>
          </cell>
          <cell r="U519" t="str">
            <v>E00103641</v>
          </cell>
          <cell r="V519" t="str">
            <v>형틀목공</v>
          </cell>
          <cell r="W519" t="str">
            <v>베트남</v>
          </cell>
        </row>
        <row r="520">
          <cell r="A520" t="str">
            <v>황반박</v>
          </cell>
          <cell r="B520" t="str">
            <v>원주시 상지대길58-5</v>
          </cell>
          <cell r="C520" t="str">
            <v>000127-5</v>
          </cell>
          <cell r="D520" t="str">
            <v>010-8028-8073</v>
          </cell>
          <cell r="E520">
            <v>210000</v>
          </cell>
          <cell r="F520" t="str">
            <v>남</v>
          </cell>
          <cell r="G520">
            <v>27</v>
          </cell>
          <cell r="H520" t="str">
            <v>외국인</v>
          </cell>
          <cell r="I520" t="str">
            <v>HOANG VANBAC</v>
          </cell>
          <cell r="J520" t="str">
            <v>형틀목공</v>
          </cell>
          <cell r="K520" t="str">
            <v>강춘일팀</v>
          </cell>
          <cell r="O520">
            <v>43511</v>
          </cell>
          <cell r="Q520" t="str">
            <v/>
          </cell>
          <cell r="R520">
            <v>45940</v>
          </cell>
          <cell r="S520">
            <v>45940</v>
          </cell>
          <cell r="T520">
            <v>45940</v>
          </cell>
          <cell r="U520" t="str">
            <v>P00764415</v>
          </cell>
          <cell r="V520" t="str">
            <v>형틀목공</v>
          </cell>
          <cell r="W520" t="str">
            <v>베트남</v>
          </cell>
        </row>
        <row r="521">
          <cell r="A521" t="str">
            <v>뉴잔넝</v>
          </cell>
          <cell r="C521" t="str">
            <v>040809-5</v>
          </cell>
          <cell r="D521" t="str">
            <v>010-8290-9804</v>
          </cell>
          <cell r="E521">
            <v>210000</v>
          </cell>
          <cell r="F521" t="str">
            <v>남</v>
          </cell>
          <cell r="G521">
            <v>23</v>
          </cell>
          <cell r="H521" t="str">
            <v>외국인</v>
          </cell>
          <cell r="I521" t="str">
            <v>LUU TRANLONG</v>
          </cell>
          <cell r="J521" t="str">
            <v>형틀목공</v>
          </cell>
          <cell r="K521" t="str">
            <v>강춘일팀</v>
          </cell>
          <cell r="O521">
            <v>44902</v>
          </cell>
          <cell r="Q521" t="str">
            <v/>
          </cell>
          <cell r="R521">
            <v>45940</v>
          </cell>
          <cell r="S521">
            <v>45940</v>
          </cell>
          <cell r="T521">
            <v>45940</v>
          </cell>
          <cell r="U521" t="str">
            <v>P00141708</v>
          </cell>
          <cell r="V521" t="str">
            <v>형틀목공</v>
          </cell>
          <cell r="W521" t="str">
            <v>베트남</v>
          </cell>
        </row>
        <row r="522">
          <cell r="A522" t="str">
            <v>반쯔엉</v>
          </cell>
          <cell r="C522" t="str">
            <v>990114-5</v>
          </cell>
          <cell r="D522" t="str">
            <v>010-9691-2199</v>
          </cell>
          <cell r="E522">
            <v>210000</v>
          </cell>
          <cell r="F522" t="str">
            <v>남</v>
          </cell>
          <cell r="G522">
            <v>28</v>
          </cell>
          <cell r="H522" t="str">
            <v>외국인</v>
          </cell>
          <cell r="I522" t="str">
            <v>THAN VAN TRUONG</v>
          </cell>
          <cell r="J522" t="str">
            <v>형틀목공</v>
          </cell>
          <cell r="K522" t="str">
            <v>강춘일팀</v>
          </cell>
          <cell r="O522">
            <v>44414</v>
          </cell>
          <cell r="Q522" t="str">
            <v/>
          </cell>
          <cell r="R522">
            <v>45940</v>
          </cell>
          <cell r="S522">
            <v>45940</v>
          </cell>
          <cell r="T522">
            <v>45940</v>
          </cell>
          <cell r="U522" t="str">
            <v>C4714901</v>
          </cell>
          <cell r="V522" t="str">
            <v>형틀목공</v>
          </cell>
          <cell r="W522" t="str">
            <v>베트남</v>
          </cell>
        </row>
        <row r="523">
          <cell r="A523" t="str">
            <v>판공귀</v>
          </cell>
          <cell r="B523" t="str">
            <v>원주시 상지대길58-5</v>
          </cell>
          <cell r="C523" t="str">
            <v>031008-5</v>
          </cell>
          <cell r="D523" t="str">
            <v>010-5152-8103</v>
          </cell>
          <cell r="E523">
            <v>210000</v>
          </cell>
          <cell r="F523" t="str">
            <v>남</v>
          </cell>
          <cell r="G523">
            <v>24</v>
          </cell>
          <cell r="H523" t="str">
            <v>외국인</v>
          </cell>
          <cell r="I523" t="str">
            <v>PHAN CONGQUY</v>
          </cell>
          <cell r="J523" t="str">
            <v>형틀목공</v>
          </cell>
          <cell r="K523" t="str">
            <v>강춘일팀</v>
          </cell>
          <cell r="O523">
            <v>44911</v>
          </cell>
          <cell r="Q523" t="str">
            <v/>
          </cell>
          <cell r="R523">
            <v>45940</v>
          </cell>
          <cell r="S523">
            <v>45940</v>
          </cell>
          <cell r="T523">
            <v>45940</v>
          </cell>
          <cell r="U523" t="str">
            <v>C9762671</v>
          </cell>
          <cell r="V523" t="str">
            <v>형틀목공</v>
          </cell>
          <cell r="W523" t="str">
            <v>베트남</v>
          </cell>
        </row>
        <row r="524">
          <cell r="A524" t="str">
            <v>웬탄득</v>
          </cell>
          <cell r="C524" t="str">
            <v>050327-5</v>
          </cell>
          <cell r="D524" t="str">
            <v>010-8367-6391</v>
          </cell>
          <cell r="E524">
            <v>210000</v>
          </cell>
          <cell r="F524" t="str">
            <v>남</v>
          </cell>
          <cell r="G524">
            <v>22</v>
          </cell>
          <cell r="H524" t="str">
            <v>외국인</v>
          </cell>
          <cell r="I524" t="str">
            <v>NGUYEN THANHDUC</v>
          </cell>
          <cell r="J524" t="str">
            <v>형틀목공</v>
          </cell>
          <cell r="K524" t="str">
            <v>강춘일팀</v>
          </cell>
          <cell r="O524">
            <v>45037</v>
          </cell>
          <cell r="Q524" t="str">
            <v/>
          </cell>
          <cell r="R524">
            <v>45940</v>
          </cell>
          <cell r="S524">
            <v>45940</v>
          </cell>
          <cell r="T524">
            <v>45940</v>
          </cell>
          <cell r="U524" t="str">
            <v>P02647429</v>
          </cell>
          <cell r="V524" t="str">
            <v>형틀목공</v>
          </cell>
          <cell r="W524" t="str">
            <v>베트남</v>
          </cell>
        </row>
        <row r="525">
          <cell r="A525" t="str">
            <v>호반띠엔</v>
          </cell>
          <cell r="B525" t="str">
            <v>원주시 상지대길58-5</v>
          </cell>
          <cell r="C525" t="str">
            <v>020701-5</v>
          </cell>
          <cell r="D525" t="str">
            <v>010-8168-1722</v>
          </cell>
          <cell r="E525">
            <v>210000</v>
          </cell>
          <cell r="F525" t="str">
            <v>남</v>
          </cell>
          <cell r="G525">
            <v>25</v>
          </cell>
          <cell r="H525" t="str">
            <v>외국인</v>
          </cell>
          <cell r="I525" t="str">
            <v>HO VANTIEN</v>
          </cell>
          <cell r="J525" t="str">
            <v>형틀목공</v>
          </cell>
          <cell r="K525" t="str">
            <v>강춘일팀</v>
          </cell>
          <cell r="O525">
            <v>44449</v>
          </cell>
          <cell r="Q525" t="str">
            <v/>
          </cell>
          <cell r="R525">
            <v>45940</v>
          </cell>
          <cell r="S525">
            <v>45940</v>
          </cell>
          <cell r="T525">
            <v>45940</v>
          </cell>
          <cell r="U525" t="str">
            <v>C9571504</v>
          </cell>
          <cell r="V525" t="str">
            <v>형틀목공</v>
          </cell>
          <cell r="W525" t="str">
            <v>베트남</v>
          </cell>
        </row>
        <row r="526">
          <cell r="A526" t="str">
            <v>원반홍</v>
          </cell>
          <cell r="C526" t="str">
            <v>960904-5</v>
          </cell>
          <cell r="D526" t="str">
            <v>010-8350-9609</v>
          </cell>
          <cell r="E526">
            <v>210000</v>
          </cell>
          <cell r="F526" t="str">
            <v>남</v>
          </cell>
          <cell r="G526">
            <v>31</v>
          </cell>
          <cell r="H526" t="str">
            <v>외국인</v>
          </cell>
          <cell r="I526" t="str">
            <v>NGUYEN VAN HUNG</v>
          </cell>
          <cell r="J526" t="str">
            <v>형틀목공</v>
          </cell>
          <cell r="K526" t="str">
            <v>강춘일팀</v>
          </cell>
          <cell r="O526">
            <v>43747</v>
          </cell>
          <cell r="Q526" t="str">
            <v/>
          </cell>
          <cell r="R526">
            <v>45950</v>
          </cell>
          <cell r="S526">
            <v>45950</v>
          </cell>
          <cell r="T526">
            <v>45950</v>
          </cell>
          <cell r="U526" t="str">
            <v>CI498263</v>
          </cell>
          <cell r="V526" t="str">
            <v>형틀목공</v>
          </cell>
          <cell r="W526" t="str">
            <v>베트남</v>
          </cell>
        </row>
        <row r="527">
          <cell r="A527" t="str">
            <v>딘반응아이</v>
          </cell>
          <cell r="C527" t="str">
            <v>010310-5</v>
          </cell>
          <cell r="D527" t="str">
            <v>010-6884-5814</v>
          </cell>
          <cell r="E527">
            <v>210000</v>
          </cell>
          <cell r="F527" t="str">
            <v>남</v>
          </cell>
          <cell r="G527">
            <v>26</v>
          </cell>
          <cell r="H527" t="str">
            <v>외국인</v>
          </cell>
          <cell r="I527" t="str">
            <v>TRINH VAN NGHIA</v>
          </cell>
          <cell r="J527" t="str">
            <v>형틀목공</v>
          </cell>
          <cell r="K527" t="str">
            <v>강춘일팀</v>
          </cell>
          <cell r="R527">
            <v>45950</v>
          </cell>
          <cell r="S527">
            <v>45950</v>
          </cell>
          <cell r="T527">
            <v>45950</v>
          </cell>
          <cell r="U527" t="str">
            <v>C9575395</v>
          </cell>
          <cell r="V527" t="str">
            <v>형틀목공</v>
          </cell>
          <cell r="W527" t="str">
            <v>베트남</v>
          </cell>
        </row>
        <row r="528">
          <cell r="A528" t="str">
            <v>레옥영</v>
          </cell>
          <cell r="C528" t="str">
            <v>850410-5</v>
          </cell>
          <cell r="D528" t="str">
            <v>010-2965-8399</v>
          </cell>
          <cell r="E528">
            <v>210000</v>
          </cell>
          <cell r="F528" t="str">
            <v>남</v>
          </cell>
          <cell r="G528">
            <v>42</v>
          </cell>
          <cell r="H528" t="str">
            <v>외국인</v>
          </cell>
          <cell r="I528" t="str">
            <v>LE NGOC DUONG</v>
          </cell>
          <cell r="J528" t="str">
            <v>형틀목공</v>
          </cell>
          <cell r="K528" t="str">
            <v>강춘일팀</v>
          </cell>
          <cell r="O528">
            <v>43606</v>
          </cell>
          <cell r="R528">
            <v>45950</v>
          </cell>
          <cell r="S528">
            <v>45950</v>
          </cell>
          <cell r="T528">
            <v>45950</v>
          </cell>
          <cell r="U528" t="str">
            <v>Q00367815</v>
          </cell>
          <cell r="V528" t="str">
            <v>형틀목공</v>
          </cell>
          <cell r="W528" t="str">
            <v>베트남</v>
          </cell>
        </row>
        <row r="529">
          <cell r="A529" t="str">
            <v>까오반칸</v>
          </cell>
          <cell r="C529" t="str">
            <v>950224-5</v>
          </cell>
          <cell r="D529" t="str">
            <v>010-9843-2992</v>
          </cell>
          <cell r="E529">
            <v>210000</v>
          </cell>
          <cell r="F529" t="str">
            <v>남</v>
          </cell>
          <cell r="G529">
            <v>32</v>
          </cell>
          <cell r="H529" t="str">
            <v>외국인</v>
          </cell>
          <cell r="I529" t="str">
            <v>CAO VAN KHANH</v>
          </cell>
          <cell r="J529" t="str">
            <v>형틀목공</v>
          </cell>
          <cell r="K529" t="str">
            <v>강춘일팀</v>
          </cell>
          <cell r="R529">
            <v>45950</v>
          </cell>
          <cell r="S529">
            <v>45950</v>
          </cell>
          <cell r="T529">
            <v>45950</v>
          </cell>
          <cell r="U529" t="str">
            <v>C2512302</v>
          </cell>
          <cell r="V529" t="str">
            <v>형틀목공</v>
          </cell>
          <cell r="W529" t="str">
            <v>베트남</v>
          </cell>
        </row>
        <row r="530">
          <cell r="A530" t="str">
            <v>황송하오</v>
          </cell>
          <cell r="C530" t="str">
            <v>000117-5</v>
          </cell>
          <cell r="D530" t="str">
            <v>010-8174-9220</v>
          </cell>
          <cell r="E530">
            <v>210000</v>
          </cell>
          <cell r="F530" t="str">
            <v>남</v>
          </cell>
          <cell r="G530">
            <v>27</v>
          </cell>
          <cell r="H530" t="str">
            <v>외국인</v>
          </cell>
          <cell r="I530" t="str">
            <v>HOANG SONG HAO</v>
          </cell>
          <cell r="J530" t="str">
            <v>형틀목공</v>
          </cell>
          <cell r="K530" t="str">
            <v>강춘일팀</v>
          </cell>
          <cell r="R530">
            <v>45950</v>
          </cell>
          <cell r="S530">
            <v>45950</v>
          </cell>
          <cell r="T530">
            <v>45950</v>
          </cell>
          <cell r="U530" t="str">
            <v>C9575397</v>
          </cell>
          <cell r="V530" t="str">
            <v>형틀목공</v>
          </cell>
          <cell r="W530" t="str">
            <v>베트남</v>
          </cell>
        </row>
        <row r="531">
          <cell r="A531" t="str">
            <v>도반디엔</v>
          </cell>
          <cell r="C531" t="str">
            <v>970115-5</v>
          </cell>
          <cell r="D531" t="str">
            <v>010-5953-8997</v>
          </cell>
          <cell r="E531">
            <v>210000</v>
          </cell>
          <cell r="F531" t="str">
            <v>남</v>
          </cell>
          <cell r="G531">
            <v>30</v>
          </cell>
          <cell r="H531" t="str">
            <v>외국인</v>
          </cell>
          <cell r="I531" t="str">
            <v>TO VAN TIEN</v>
          </cell>
          <cell r="J531" t="str">
            <v>형틀목공</v>
          </cell>
          <cell r="K531" t="str">
            <v>강춘일팀</v>
          </cell>
          <cell r="O531">
            <v>43271</v>
          </cell>
          <cell r="R531">
            <v>45950</v>
          </cell>
          <cell r="S531">
            <v>45950</v>
          </cell>
          <cell r="T531">
            <v>45950</v>
          </cell>
          <cell r="U531" t="str">
            <v>P01457828</v>
          </cell>
          <cell r="V531" t="str">
            <v>형틀목공</v>
          </cell>
          <cell r="W531" t="str">
            <v>베트남</v>
          </cell>
        </row>
        <row r="532">
          <cell r="A532" t="str">
            <v>웬안똔</v>
          </cell>
          <cell r="C532" t="str">
            <v>030815-5</v>
          </cell>
          <cell r="D532" t="str">
            <v>010-9891-8688</v>
          </cell>
          <cell r="E532">
            <v>210000</v>
          </cell>
          <cell r="F532" t="str">
            <v>남</v>
          </cell>
          <cell r="G532">
            <v>24</v>
          </cell>
          <cell r="H532" t="str">
            <v>외국인</v>
          </cell>
          <cell r="I532" t="str">
            <v>NGUYEN ANH TON</v>
          </cell>
          <cell r="J532" t="str">
            <v>형틀목공</v>
          </cell>
          <cell r="K532" t="str">
            <v>강춘일팀</v>
          </cell>
          <cell r="O532">
            <v>44727</v>
          </cell>
          <cell r="R532">
            <v>45950</v>
          </cell>
          <cell r="S532">
            <v>45950</v>
          </cell>
          <cell r="T532">
            <v>45950</v>
          </cell>
          <cell r="U532" t="str">
            <v>C9781911</v>
          </cell>
          <cell r="V532" t="str">
            <v>형틀목공</v>
          </cell>
          <cell r="W532" t="str">
            <v>베트남</v>
          </cell>
        </row>
        <row r="533">
          <cell r="A533" t="str">
            <v>레반도안</v>
          </cell>
          <cell r="C533" t="str">
            <v>050913-5</v>
          </cell>
          <cell r="D533" t="str">
            <v>010-8248-9835</v>
          </cell>
          <cell r="E533">
            <v>210000</v>
          </cell>
          <cell r="F533" t="str">
            <v>남</v>
          </cell>
          <cell r="G533">
            <v>22</v>
          </cell>
          <cell r="H533" t="str">
            <v>외국인</v>
          </cell>
          <cell r="I533" t="str">
            <v>LE VAN TOAN</v>
          </cell>
          <cell r="J533" t="str">
            <v>형틀목공</v>
          </cell>
          <cell r="K533" t="str">
            <v>강춘일팀</v>
          </cell>
          <cell r="R533">
            <v>45950</v>
          </cell>
          <cell r="S533">
            <v>45950</v>
          </cell>
          <cell r="T533">
            <v>45950</v>
          </cell>
          <cell r="U533" t="str">
            <v>P02706382</v>
          </cell>
          <cell r="V533" t="str">
            <v>형틀목공</v>
          </cell>
          <cell r="W533" t="str">
            <v>베트남</v>
          </cell>
        </row>
        <row r="534">
          <cell r="A534" t="str">
            <v>뜨엉득강</v>
          </cell>
          <cell r="C534" t="str">
            <v>030905-5</v>
          </cell>
          <cell r="D534" t="str">
            <v>010-7551-9666</v>
          </cell>
          <cell r="E534">
            <v>210000</v>
          </cell>
          <cell r="F534" t="str">
            <v>남</v>
          </cell>
          <cell r="G534">
            <v>24</v>
          </cell>
          <cell r="H534" t="str">
            <v>외국인</v>
          </cell>
          <cell r="I534" t="str">
            <v>DUONG DUC KHANG</v>
          </cell>
          <cell r="J534" t="str">
            <v>형틀목공</v>
          </cell>
          <cell r="K534" t="str">
            <v>강춘일팀</v>
          </cell>
          <cell r="R534">
            <v>45950</v>
          </cell>
          <cell r="S534">
            <v>45950</v>
          </cell>
          <cell r="T534">
            <v>45950</v>
          </cell>
          <cell r="U534" t="str">
            <v>Q00235561</v>
          </cell>
          <cell r="V534" t="str">
            <v>형틀목공</v>
          </cell>
          <cell r="W534" t="str">
            <v>베트남</v>
          </cell>
        </row>
        <row r="535">
          <cell r="A535" t="str">
            <v>지언진</v>
          </cell>
          <cell r="B535" t="str">
            <v>익산시 익산대로 72길 27-1</v>
          </cell>
          <cell r="C535" t="str">
            <v>941012-5260042</v>
          </cell>
          <cell r="D535" t="str">
            <v>010-9562-6968</v>
          </cell>
          <cell r="E535">
            <v>210000</v>
          </cell>
          <cell r="F535" t="str">
            <v>남</v>
          </cell>
          <cell r="G535">
            <v>33</v>
          </cell>
          <cell r="H535" t="str">
            <v>외국인</v>
          </cell>
          <cell r="I535" t="str">
            <v>NGUYEN TIEN DINH</v>
          </cell>
          <cell r="J535" t="str">
            <v>형틀목공</v>
          </cell>
          <cell r="K535" t="str">
            <v>강춘일팀</v>
          </cell>
          <cell r="O535">
            <v>43313</v>
          </cell>
          <cell r="P535" t="str">
            <v>일반연수</v>
          </cell>
          <cell r="Q535">
            <v>42905</v>
          </cell>
          <cell r="R535">
            <v>45950</v>
          </cell>
          <cell r="S535">
            <v>45950</v>
          </cell>
          <cell r="T535">
            <v>45950</v>
          </cell>
          <cell r="U535" t="str">
            <v>Q00710218</v>
          </cell>
          <cell r="V535" t="str">
            <v>형틀목공</v>
          </cell>
          <cell r="W535" t="str">
            <v>베트남</v>
          </cell>
        </row>
        <row r="536">
          <cell r="A536" t="str">
            <v>턴반베</v>
          </cell>
          <cell r="C536" t="str">
            <v>790626-5</v>
          </cell>
          <cell r="D536" t="str">
            <v>010-2998-1979</v>
          </cell>
          <cell r="E536">
            <v>210000</v>
          </cell>
          <cell r="F536" t="str">
            <v>남</v>
          </cell>
          <cell r="G536">
            <v>48</v>
          </cell>
          <cell r="H536" t="str">
            <v>외국인</v>
          </cell>
          <cell r="I536" t="str">
            <v>TRAN VAN VE</v>
          </cell>
          <cell r="J536" t="str">
            <v>형틀목공</v>
          </cell>
          <cell r="K536" t="str">
            <v>강춘일팀</v>
          </cell>
          <cell r="O536">
            <v>43238</v>
          </cell>
          <cell r="R536">
            <v>45950</v>
          </cell>
          <cell r="S536">
            <v>45950</v>
          </cell>
          <cell r="T536">
            <v>45950</v>
          </cell>
          <cell r="U536" t="str">
            <v>C2952672</v>
          </cell>
          <cell r="V536" t="str">
            <v>형틀목공</v>
          </cell>
          <cell r="W536" t="str">
            <v>베트남</v>
          </cell>
        </row>
        <row r="537">
          <cell r="A537" t="str">
            <v>짠반당</v>
          </cell>
          <cell r="C537" t="str">
            <v>010920-5</v>
          </cell>
          <cell r="D537" t="str">
            <v>010-8481-0068</v>
          </cell>
          <cell r="E537">
            <v>210000</v>
          </cell>
          <cell r="F537" t="str">
            <v>남</v>
          </cell>
          <cell r="G537">
            <v>26</v>
          </cell>
          <cell r="H537" t="str">
            <v>외국인</v>
          </cell>
          <cell r="I537" t="str">
            <v>TRAN VAN TANG</v>
          </cell>
          <cell r="J537" t="str">
            <v>형틀목공</v>
          </cell>
          <cell r="K537" t="str">
            <v>강춘일팀</v>
          </cell>
          <cell r="R537">
            <v>45950</v>
          </cell>
          <cell r="S537">
            <v>45950</v>
          </cell>
          <cell r="T537">
            <v>45950</v>
          </cell>
          <cell r="U537" t="str">
            <v>K0294037</v>
          </cell>
          <cell r="V537" t="str">
            <v>형틀목공</v>
          </cell>
          <cell r="W537" t="str">
            <v>베트남</v>
          </cell>
        </row>
        <row r="538">
          <cell r="A538" t="str">
            <v>비디엔닷</v>
          </cell>
          <cell r="C538" t="str">
            <v>040417-5</v>
          </cell>
          <cell r="D538" t="str">
            <v>010-8787-7066</v>
          </cell>
          <cell r="E538">
            <v>210000</v>
          </cell>
          <cell r="F538" t="str">
            <v>남</v>
          </cell>
          <cell r="G538">
            <v>23</v>
          </cell>
          <cell r="H538" t="str">
            <v>외국인</v>
          </cell>
          <cell r="I538" t="str">
            <v>VI TIEN DAT</v>
          </cell>
          <cell r="J538" t="str">
            <v>형틀목공</v>
          </cell>
          <cell r="K538" t="str">
            <v>강춘일팀</v>
          </cell>
          <cell r="R538">
            <v>45950</v>
          </cell>
          <cell r="S538">
            <v>45950</v>
          </cell>
          <cell r="T538">
            <v>45950</v>
          </cell>
          <cell r="U538" t="str">
            <v>E00305468</v>
          </cell>
          <cell r="V538" t="str">
            <v>형틀목공</v>
          </cell>
          <cell r="W538" t="str">
            <v>베트남</v>
          </cell>
        </row>
        <row r="539">
          <cell r="A539" t="str">
            <v>황반그엉</v>
          </cell>
          <cell r="C539" t="str">
            <v>971006-5</v>
          </cell>
          <cell r="D539" t="str">
            <v>010-8111-0895</v>
          </cell>
          <cell r="E539">
            <v>210000</v>
          </cell>
          <cell r="F539" t="str">
            <v>남</v>
          </cell>
          <cell r="G539">
            <v>30</v>
          </cell>
          <cell r="H539" t="str">
            <v>외국인</v>
          </cell>
          <cell r="I539" t="str">
            <v>HOANG VAN CUONG</v>
          </cell>
          <cell r="J539" t="str">
            <v>형틀목공</v>
          </cell>
          <cell r="K539" t="str">
            <v>강춘일팀</v>
          </cell>
          <cell r="R539">
            <v>45950</v>
          </cell>
          <cell r="S539">
            <v>45950</v>
          </cell>
          <cell r="T539">
            <v>45950</v>
          </cell>
          <cell r="U539" t="str">
            <v>C2667055</v>
          </cell>
          <cell r="V539" t="str">
            <v>형틀목공</v>
          </cell>
          <cell r="W539" t="str">
            <v>베트남</v>
          </cell>
        </row>
        <row r="540">
          <cell r="A540" t="str">
            <v>도만혁</v>
          </cell>
          <cell r="C540" t="str">
            <v>970303-5</v>
          </cell>
          <cell r="D540" t="str">
            <v>010-9638-6828</v>
          </cell>
          <cell r="E540">
            <v>210000</v>
          </cell>
          <cell r="F540" t="str">
            <v>남</v>
          </cell>
          <cell r="G540">
            <v>30</v>
          </cell>
          <cell r="H540" t="str">
            <v>외국인</v>
          </cell>
          <cell r="I540" t="str">
            <v>TO VAN VIET</v>
          </cell>
          <cell r="J540" t="str">
            <v>형틀목공</v>
          </cell>
          <cell r="K540" t="str">
            <v>강춘일팀</v>
          </cell>
          <cell r="O540">
            <v>43388</v>
          </cell>
          <cell r="R540">
            <v>45950</v>
          </cell>
          <cell r="S540">
            <v>45950</v>
          </cell>
          <cell r="T540">
            <v>45950</v>
          </cell>
          <cell r="U540" t="str">
            <v>CI364572</v>
          </cell>
          <cell r="V540" t="str">
            <v>형틀목공</v>
          </cell>
          <cell r="W540" t="str">
            <v>베트남</v>
          </cell>
        </row>
        <row r="541">
          <cell r="A541" t="str">
            <v>웬딘스</v>
          </cell>
          <cell r="C541" t="str">
            <v>030822-5</v>
          </cell>
          <cell r="D541" t="str">
            <v>010-9805-4494</v>
          </cell>
          <cell r="E541">
            <v>210000</v>
          </cell>
          <cell r="F541" t="str">
            <v>남</v>
          </cell>
          <cell r="G541">
            <v>24</v>
          </cell>
          <cell r="H541" t="str">
            <v>외국인</v>
          </cell>
          <cell r="I541" t="str">
            <v>NGUYEN DINH SU</v>
          </cell>
          <cell r="J541" t="str">
            <v>형틀목공</v>
          </cell>
          <cell r="K541" t="str">
            <v>강춘일팀</v>
          </cell>
          <cell r="O541">
            <v>45343</v>
          </cell>
          <cell r="Q541" t="str">
            <v/>
          </cell>
          <cell r="R541">
            <v>45959</v>
          </cell>
          <cell r="S541">
            <v>45958</v>
          </cell>
          <cell r="T541">
            <v>45958</v>
          </cell>
          <cell r="U541" t="str">
            <v>K0056504</v>
          </cell>
          <cell r="V541" t="str">
            <v>형틀목공</v>
          </cell>
          <cell r="W541" t="str">
            <v>베트남</v>
          </cell>
        </row>
        <row r="542">
          <cell r="A542" t="str">
            <v>황딘풍</v>
          </cell>
          <cell r="B542" t="str">
            <v>상지대길 58-5</v>
          </cell>
          <cell r="C542" t="str">
            <v>001210-5</v>
          </cell>
          <cell r="D542" t="str">
            <v>010-7569-9697</v>
          </cell>
          <cell r="E542">
            <v>210000</v>
          </cell>
          <cell r="F542" t="str">
            <v>남</v>
          </cell>
          <cell r="G542">
            <v>27</v>
          </cell>
          <cell r="H542" t="str">
            <v>외국인</v>
          </cell>
          <cell r="I542" t="str">
            <v>HOANG DINH PHUONG</v>
          </cell>
          <cell r="J542" t="str">
            <v>형틀목공</v>
          </cell>
          <cell r="K542" t="str">
            <v>강춘일팀</v>
          </cell>
          <cell r="O542">
            <v>43842</v>
          </cell>
          <cell r="Q542" t="str">
            <v/>
          </cell>
          <cell r="R542">
            <v>45961</v>
          </cell>
          <cell r="S542">
            <v>45961</v>
          </cell>
          <cell r="T542">
            <v>45961</v>
          </cell>
          <cell r="U542" t="str">
            <v>C9643635</v>
          </cell>
          <cell r="V542" t="str">
            <v>형틀목공</v>
          </cell>
          <cell r="W542" t="str">
            <v>베트남</v>
          </cell>
        </row>
        <row r="543">
          <cell r="A543" t="str">
            <v>쩐황상</v>
          </cell>
          <cell r="B543" t="str">
            <v>상지대길 58-5</v>
          </cell>
          <cell r="C543" t="str">
            <v>990108-5</v>
          </cell>
          <cell r="D543" t="str">
            <v>010-7977-6768</v>
          </cell>
          <cell r="E543">
            <v>210000</v>
          </cell>
          <cell r="F543" t="str">
            <v>남</v>
          </cell>
          <cell r="G543">
            <v>28</v>
          </cell>
          <cell r="H543" t="str">
            <v>외국인</v>
          </cell>
          <cell r="I543" t="str">
            <v>TRAN HOANG SANG</v>
          </cell>
          <cell r="J543" t="str">
            <v>형틀목공</v>
          </cell>
          <cell r="K543" t="str">
            <v>강춘일팀</v>
          </cell>
          <cell r="O543">
            <v>44058</v>
          </cell>
          <cell r="Q543" t="str">
            <v/>
          </cell>
          <cell r="R543">
            <v>45961</v>
          </cell>
          <cell r="S543">
            <v>45961</v>
          </cell>
          <cell r="T543">
            <v>45961</v>
          </cell>
          <cell r="U543" t="str">
            <v>C3507852</v>
          </cell>
          <cell r="V543" t="str">
            <v>형틀목공</v>
          </cell>
          <cell r="W543" t="str">
            <v>베트남</v>
          </cell>
        </row>
        <row r="544">
          <cell r="F544" t="str">
            <v/>
          </cell>
          <cell r="G544" t="str">
            <v/>
          </cell>
          <cell r="H544" t="str">
            <v/>
          </cell>
          <cell r="Q544" t="str">
            <v/>
          </cell>
        </row>
        <row r="545">
          <cell r="F545" t="str">
            <v/>
          </cell>
          <cell r="G545" t="str">
            <v/>
          </cell>
          <cell r="H545" t="str">
            <v/>
          </cell>
          <cell r="Q545" t="str">
            <v/>
          </cell>
        </row>
        <row r="546">
          <cell r="F546" t="str">
            <v/>
          </cell>
          <cell r="G546" t="str">
            <v/>
          </cell>
          <cell r="H546" t="str">
            <v/>
          </cell>
          <cell r="Q546" t="str">
            <v/>
          </cell>
        </row>
        <row r="547">
          <cell r="A547" t="str">
            <v>박상규</v>
          </cell>
          <cell r="B547" t="str">
            <v>강원도 횡성군 공근면 봉화마을길37</v>
          </cell>
          <cell r="C547" t="str">
            <v>771227-1813013</v>
          </cell>
          <cell r="D547" t="str">
            <v>010-7448-4494</v>
          </cell>
          <cell r="E547">
            <v>290000</v>
          </cell>
          <cell r="F547" t="str">
            <v>남</v>
          </cell>
          <cell r="G547">
            <v>50</v>
          </cell>
          <cell r="H547" t="str">
            <v>-</v>
          </cell>
          <cell r="J547" t="str">
            <v>형틀목공</v>
          </cell>
          <cell r="K547" t="str">
            <v>박상규팀</v>
          </cell>
          <cell r="L547" t="str">
            <v>135-12-273161</v>
          </cell>
          <cell r="M547" t="str">
            <v>농협은행</v>
          </cell>
          <cell r="N547" t="str">
            <v>박상규</v>
          </cell>
          <cell r="O547">
            <v>41472</v>
          </cell>
          <cell r="Q547" t="str">
            <v/>
          </cell>
          <cell r="R547">
            <v>45950</v>
          </cell>
          <cell r="S547">
            <v>45950</v>
          </cell>
          <cell r="T547">
            <v>45950</v>
          </cell>
          <cell r="V547" t="str">
            <v>형틀목공</v>
          </cell>
        </row>
        <row r="548">
          <cell r="A548" t="str">
            <v>박광규</v>
          </cell>
          <cell r="B548" t="str">
            <v>경기도 김포시 감정로64,126-1102</v>
          </cell>
          <cell r="C548" t="str">
            <v>620908-1064211</v>
          </cell>
          <cell r="D548" t="str">
            <v>010-3878-8784</v>
          </cell>
          <cell r="E548">
            <v>235000</v>
          </cell>
          <cell r="F548" t="str">
            <v>남</v>
          </cell>
          <cell r="G548">
            <v>65</v>
          </cell>
          <cell r="H548" t="str">
            <v>-</v>
          </cell>
          <cell r="J548" t="str">
            <v>형틀목공</v>
          </cell>
          <cell r="K548" t="str">
            <v>박상규팀</v>
          </cell>
          <cell r="L548" t="str">
            <v>830-24-0052-048</v>
          </cell>
          <cell r="M548" t="str">
            <v>국민은행</v>
          </cell>
          <cell r="N548" t="str">
            <v>박광규</v>
          </cell>
          <cell r="O548">
            <v>41704</v>
          </cell>
          <cell r="Q548" t="str">
            <v/>
          </cell>
          <cell r="R548">
            <v>45954</v>
          </cell>
          <cell r="S548">
            <v>45950</v>
          </cell>
          <cell r="T548">
            <v>45950</v>
          </cell>
          <cell r="V548" t="str">
            <v>형틀목공</v>
          </cell>
        </row>
        <row r="549">
          <cell r="A549" t="str">
            <v>권일</v>
          </cell>
          <cell r="B549" t="str">
            <v>인천시 계양구 작전동855-28,B01</v>
          </cell>
          <cell r="C549" t="str">
            <v>630507-1011018</v>
          </cell>
          <cell r="D549" t="str">
            <v>010-3704-1775</v>
          </cell>
          <cell r="E549">
            <v>235000</v>
          </cell>
          <cell r="F549" t="str">
            <v>남</v>
          </cell>
          <cell r="G549">
            <v>64</v>
          </cell>
          <cell r="H549" t="str">
            <v>-</v>
          </cell>
          <cell r="J549" t="str">
            <v>형틀목공</v>
          </cell>
          <cell r="K549" t="str">
            <v>박상규팀</v>
          </cell>
          <cell r="L549" t="str">
            <v>648001-04-173673</v>
          </cell>
          <cell r="M549" t="str">
            <v>국민은행</v>
          </cell>
          <cell r="N549" t="str">
            <v>권일</v>
          </cell>
          <cell r="O549">
            <v>41615</v>
          </cell>
          <cell r="Q549" t="str">
            <v/>
          </cell>
          <cell r="R549">
            <v>45953</v>
          </cell>
          <cell r="S549">
            <v>45950</v>
          </cell>
          <cell r="T549">
            <v>45950</v>
          </cell>
          <cell r="V549" t="str">
            <v>형틀목공</v>
          </cell>
        </row>
        <row r="550">
          <cell r="A550" t="str">
            <v>김이열</v>
          </cell>
          <cell r="B550" t="str">
            <v>원주시 유원길10-7</v>
          </cell>
          <cell r="C550" t="str">
            <v>670111-1565621</v>
          </cell>
          <cell r="D550" t="str">
            <v>010-9035-6202</v>
          </cell>
          <cell r="E550">
            <v>235000</v>
          </cell>
          <cell r="F550" t="str">
            <v>남</v>
          </cell>
          <cell r="G550">
            <v>60</v>
          </cell>
          <cell r="H550" t="str">
            <v>-</v>
          </cell>
          <cell r="J550" t="str">
            <v>형틀목공</v>
          </cell>
          <cell r="K550" t="str">
            <v>박상규팀</v>
          </cell>
          <cell r="L550" t="str">
            <v>110-0103-25634</v>
          </cell>
          <cell r="M550" t="str">
            <v>우체국</v>
          </cell>
          <cell r="N550" t="str">
            <v>김이열</v>
          </cell>
          <cell r="O550">
            <v>41199</v>
          </cell>
          <cell r="Q550" t="str">
            <v/>
          </cell>
          <cell r="R550">
            <v>45953</v>
          </cell>
          <cell r="S550">
            <v>45950</v>
          </cell>
          <cell r="T550">
            <v>45950</v>
          </cell>
          <cell r="V550" t="str">
            <v>형틀목공</v>
          </cell>
        </row>
        <row r="551">
          <cell r="A551" t="str">
            <v>김진국형</v>
          </cell>
          <cell r="B551" t="str">
            <v>강원도 홍천군 홍천읍 무궁화로102</v>
          </cell>
          <cell r="C551" t="str">
            <v>720326-1100436</v>
          </cell>
          <cell r="D551" t="str">
            <v>010-3779-9661</v>
          </cell>
          <cell r="E551">
            <v>270000</v>
          </cell>
          <cell r="F551" t="str">
            <v>남</v>
          </cell>
          <cell r="G551">
            <v>55</v>
          </cell>
          <cell r="H551" t="str">
            <v>-</v>
          </cell>
          <cell r="J551" t="str">
            <v>형틀목공</v>
          </cell>
          <cell r="K551" t="str">
            <v>박상규팀</v>
          </cell>
          <cell r="L551" t="str">
            <v>013276-02-353367</v>
          </cell>
          <cell r="M551" t="str">
            <v>우체국</v>
          </cell>
          <cell r="N551" t="str">
            <v>김진국</v>
          </cell>
          <cell r="O551">
            <v>41381</v>
          </cell>
          <cell r="Q551" t="str">
            <v/>
          </cell>
          <cell r="R551">
            <v>45953</v>
          </cell>
          <cell r="S551">
            <v>45950</v>
          </cell>
          <cell r="T551">
            <v>45950</v>
          </cell>
          <cell r="V551" t="str">
            <v>형틀목공</v>
          </cell>
        </row>
        <row r="552">
          <cell r="A552" t="str">
            <v>이승현</v>
          </cell>
          <cell r="B552" t="str">
            <v>서울시 강동구 구천면로11길20-12,102호</v>
          </cell>
          <cell r="C552" t="str">
            <v>711122-1279317</v>
          </cell>
          <cell r="D552" t="str">
            <v>010-6497-7112</v>
          </cell>
          <cell r="E552">
            <v>235000</v>
          </cell>
          <cell r="F552" t="str">
            <v>남</v>
          </cell>
          <cell r="G552">
            <v>56</v>
          </cell>
          <cell r="H552" t="str">
            <v>-</v>
          </cell>
          <cell r="J552" t="str">
            <v>형틀목공</v>
          </cell>
          <cell r="K552" t="str">
            <v>박상규팀</v>
          </cell>
          <cell r="L552" t="str">
            <v>792-910616-92307</v>
          </cell>
          <cell r="M552" t="str">
            <v>하나은행</v>
          </cell>
          <cell r="N552" t="str">
            <v>이승현</v>
          </cell>
          <cell r="O552">
            <v>41607</v>
          </cell>
          <cell r="Q552" t="str">
            <v/>
          </cell>
          <cell r="R552">
            <v>45953</v>
          </cell>
          <cell r="S552">
            <v>45950</v>
          </cell>
          <cell r="T552">
            <v>45950</v>
          </cell>
          <cell r="V552" t="str">
            <v>형틀목공</v>
          </cell>
        </row>
        <row r="553">
          <cell r="A553" t="str">
            <v>전태영형</v>
          </cell>
          <cell r="B553" t="str">
            <v>인천시 미추홍구 인하로329번길23,2-102호</v>
          </cell>
          <cell r="C553" t="str">
            <v>560310-1812812</v>
          </cell>
          <cell r="D553" t="str">
            <v>010-5447-2239</v>
          </cell>
          <cell r="E553">
            <v>235000</v>
          </cell>
          <cell r="F553" t="str">
            <v>남</v>
          </cell>
          <cell r="G553">
            <v>71</v>
          </cell>
          <cell r="H553" t="str">
            <v>-</v>
          </cell>
          <cell r="J553" t="str">
            <v>형틀목공</v>
          </cell>
          <cell r="K553" t="str">
            <v>박상규팀</v>
          </cell>
          <cell r="L553" t="str">
            <v>130056-51-051261</v>
          </cell>
          <cell r="M553" t="str">
            <v>농협은행</v>
          </cell>
          <cell r="N553" t="str">
            <v>전태영</v>
          </cell>
          <cell r="O553">
            <v>41472</v>
          </cell>
          <cell r="Q553" t="str">
            <v/>
          </cell>
          <cell r="R553">
            <v>45954</v>
          </cell>
          <cell r="S553">
            <v>45950</v>
          </cell>
          <cell r="T553">
            <v>45950</v>
          </cell>
          <cell r="V553" t="str">
            <v>형틀목공</v>
          </cell>
        </row>
        <row r="554">
          <cell r="A554" t="str">
            <v>최병석</v>
          </cell>
          <cell r="B554" t="str">
            <v>경기도 군포시 고산로724번길36-11,3층</v>
          </cell>
          <cell r="C554" t="str">
            <v>810307-1231227</v>
          </cell>
          <cell r="D554" t="str">
            <v>010-9397-7740</v>
          </cell>
          <cell r="E554">
            <v>235000</v>
          </cell>
          <cell r="F554" t="str">
            <v>남</v>
          </cell>
          <cell r="G554">
            <v>46</v>
          </cell>
          <cell r="H554" t="str">
            <v>-</v>
          </cell>
          <cell r="J554" t="str">
            <v>형틀목공</v>
          </cell>
          <cell r="K554" t="str">
            <v>박상규팀</v>
          </cell>
          <cell r="L554" t="str">
            <v>211074-56-108804</v>
          </cell>
          <cell r="M554" t="str">
            <v>농협은행</v>
          </cell>
          <cell r="N554" t="str">
            <v>최병석</v>
          </cell>
          <cell r="O554">
            <v>42213</v>
          </cell>
          <cell r="Q554" t="str">
            <v/>
          </cell>
          <cell r="R554">
            <v>45953</v>
          </cell>
          <cell r="S554">
            <v>45950</v>
          </cell>
          <cell r="T554">
            <v>45950</v>
          </cell>
          <cell r="V554" t="str">
            <v>형틀목공</v>
          </cell>
        </row>
        <row r="555">
          <cell r="A555" t="str">
            <v>최원희</v>
          </cell>
          <cell r="B555" t="str">
            <v>서울시 구로구 가리봉동135-68,603호</v>
          </cell>
          <cell r="C555" t="str">
            <v>700728-1543711</v>
          </cell>
          <cell r="D555" t="str">
            <v>010-4965-4455</v>
          </cell>
          <cell r="E555">
            <v>235000</v>
          </cell>
          <cell r="F555" t="str">
            <v>남</v>
          </cell>
          <cell r="G555">
            <v>57</v>
          </cell>
          <cell r="H555" t="str">
            <v>-</v>
          </cell>
          <cell r="J555" t="str">
            <v>형틀목공</v>
          </cell>
          <cell r="K555" t="str">
            <v>박상규팀</v>
          </cell>
          <cell r="L555" t="str">
            <v>9003-2844-6908-1</v>
          </cell>
          <cell r="M555" t="str">
            <v>새마을금고중앙회금고</v>
          </cell>
          <cell r="N555" t="str">
            <v>최원희</v>
          </cell>
          <cell r="O555">
            <v>41324</v>
          </cell>
          <cell r="Q555" t="str">
            <v/>
          </cell>
          <cell r="R555">
            <v>45957</v>
          </cell>
          <cell r="S555">
            <v>45950</v>
          </cell>
          <cell r="T555">
            <v>45950</v>
          </cell>
          <cell r="V555" t="str">
            <v>형틀목공</v>
          </cell>
        </row>
        <row r="556">
          <cell r="A556" t="str">
            <v>한현선</v>
          </cell>
          <cell r="B556" t="str">
            <v>강원도 홍천군/읍 연봉중앙로18,103-1505</v>
          </cell>
          <cell r="C556" t="str">
            <v>730918-1321010</v>
          </cell>
          <cell r="D556" t="str">
            <v>010-9679-3824</v>
          </cell>
          <cell r="E556">
            <v>235000</v>
          </cell>
          <cell r="F556" t="str">
            <v>남</v>
          </cell>
          <cell r="G556">
            <v>54</v>
          </cell>
          <cell r="H556" t="str">
            <v>-</v>
          </cell>
          <cell r="J556" t="str">
            <v>형틀목공</v>
          </cell>
          <cell r="K556" t="str">
            <v>박상규팀</v>
          </cell>
          <cell r="L556" t="str">
            <v>303039-52-062430</v>
          </cell>
          <cell r="M556" t="str">
            <v>농협은행</v>
          </cell>
          <cell r="N556" t="str">
            <v>한현선</v>
          </cell>
          <cell r="O556">
            <v>42110</v>
          </cell>
          <cell r="Q556" t="str">
            <v/>
          </cell>
          <cell r="T556">
            <v>45950</v>
          </cell>
          <cell r="V556" t="str">
            <v>형틀목공</v>
          </cell>
        </row>
        <row r="557">
          <cell r="A557" t="str">
            <v>원영선</v>
          </cell>
          <cell r="B557" t="str">
            <v>강원 원주시 황소마을길 17-5, 202호(명륜동)</v>
          </cell>
          <cell r="C557" t="str">
            <v>630112-1267619</v>
          </cell>
          <cell r="D557" t="str">
            <v>010-4291-9101</v>
          </cell>
          <cell r="E557">
            <v>235000</v>
          </cell>
          <cell r="F557" t="str">
            <v>남</v>
          </cell>
          <cell r="G557">
            <v>64</v>
          </cell>
          <cell r="H557" t="str">
            <v>-</v>
          </cell>
          <cell r="J557" t="str">
            <v>형틀목공</v>
          </cell>
          <cell r="K557" t="str">
            <v>박상규팀</v>
          </cell>
          <cell r="L557" t="str">
            <v>110-029-107210</v>
          </cell>
          <cell r="M557" t="str">
            <v>신한은행</v>
          </cell>
          <cell r="N557" t="str">
            <v>원영선</v>
          </cell>
          <cell r="O557">
            <v>44438</v>
          </cell>
          <cell r="Q557" t="str">
            <v/>
          </cell>
          <cell r="R557">
            <v>45954</v>
          </cell>
          <cell r="S557">
            <v>45954</v>
          </cell>
          <cell r="T557">
            <v>45954</v>
          </cell>
          <cell r="V557" t="str">
            <v>형틀목공</v>
          </cell>
        </row>
        <row r="558">
          <cell r="A558" t="str">
            <v>김재식</v>
          </cell>
          <cell r="B558" t="str">
            <v>강원 원주시 중평길77-20</v>
          </cell>
          <cell r="C558" t="str">
            <v>740916-1333631</v>
          </cell>
          <cell r="D558" t="str">
            <v>010-7768-4894</v>
          </cell>
          <cell r="E558">
            <v>235000</v>
          </cell>
          <cell r="F558" t="str">
            <v>남</v>
          </cell>
          <cell r="G558">
            <v>53</v>
          </cell>
          <cell r="H558" t="str">
            <v>-</v>
          </cell>
          <cell r="J558" t="str">
            <v>형틀목공</v>
          </cell>
          <cell r="K558" t="str">
            <v>박상규팀</v>
          </cell>
          <cell r="L558" t="str">
            <v>302-2071-6708-21</v>
          </cell>
          <cell r="M558" t="str">
            <v>농협은행</v>
          </cell>
          <cell r="N558" t="str">
            <v>박길자(김재식처)</v>
          </cell>
          <cell r="O558">
            <v>41358</v>
          </cell>
          <cell r="R558">
            <v>45964</v>
          </cell>
          <cell r="S558">
            <v>45964</v>
          </cell>
          <cell r="T558">
            <v>45964</v>
          </cell>
          <cell r="V558" t="str">
            <v>형틀목공</v>
          </cell>
        </row>
        <row r="559">
          <cell r="A559" t="str">
            <v>윤재진</v>
          </cell>
          <cell r="B559" t="str">
            <v>강원도 원주시 치악로 1774</v>
          </cell>
          <cell r="C559" t="str">
            <v>700607-1268021</v>
          </cell>
          <cell r="D559" t="str">
            <v>010-6248-4589</v>
          </cell>
          <cell r="E559">
            <v>235000</v>
          </cell>
          <cell r="F559" t="str">
            <v>남</v>
          </cell>
          <cell r="G559">
            <v>57</v>
          </cell>
          <cell r="H559" t="str">
            <v>-</v>
          </cell>
          <cell r="J559" t="str">
            <v>형틀목공</v>
          </cell>
          <cell r="K559" t="str">
            <v>박상규팀</v>
          </cell>
          <cell r="L559" t="str">
            <v>352-6248-4589-93</v>
          </cell>
          <cell r="M559" t="str">
            <v>농협은행</v>
          </cell>
          <cell r="N559" t="str">
            <v>윤재진</v>
          </cell>
          <cell r="O559">
            <v>41530</v>
          </cell>
          <cell r="R559">
            <v>45964</v>
          </cell>
          <cell r="S559">
            <v>45964</v>
          </cell>
          <cell r="T559">
            <v>45964</v>
          </cell>
          <cell r="V559" t="str">
            <v>형틀목공</v>
          </cell>
        </row>
        <row r="560">
          <cell r="A560" t="str">
            <v>최대성</v>
          </cell>
          <cell r="B560" t="str">
            <v>강원도 원주시 황소마을길 9</v>
          </cell>
          <cell r="C560" t="str">
            <v>660301-1535417</v>
          </cell>
          <cell r="D560" t="str">
            <v>010-3704-0301</v>
          </cell>
          <cell r="E560">
            <v>235000</v>
          </cell>
          <cell r="F560" t="str">
            <v>남</v>
          </cell>
          <cell r="G560">
            <v>61</v>
          </cell>
          <cell r="H560" t="str">
            <v>-</v>
          </cell>
          <cell r="J560" t="str">
            <v>형틀목공</v>
          </cell>
          <cell r="K560" t="str">
            <v>박상규팀</v>
          </cell>
          <cell r="L560" t="str">
            <v>302-3704-0301-71</v>
          </cell>
          <cell r="M560" t="str">
            <v>농협은행</v>
          </cell>
          <cell r="N560" t="str">
            <v>최대성</v>
          </cell>
          <cell r="O560">
            <v>41460</v>
          </cell>
          <cell r="R560">
            <v>45964</v>
          </cell>
          <cell r="S560">
            <v>45964</v>
          </cell>
          <cell r="T560">
            <v>45964</v>
          </cell>
          <cell r="V560" t="str">
            <v>형틀목공</v>
          </cell>
        </row>
        <row r="561">
          <cell r="A561" t="str">
            <v>윤재훈</v>
          </cell>
          <cell r="B561" t="str">
            <v>강원도 원주시 치악로 1774</v>
          </cell>
          <cell r="C561" t="str">
            <v>700607-1268015</v>
          </cell>
          <cell r="D561" t="str">
            <v>010-8942-2576</v>
          </cell>
          <cell r="E561">
            <v>235000</v>
          </cell>
          <cell r="F561" t="str">
            <v>남</v>
          </cell>
          <cell r="G561">
            <v>57</v>
          </cell>
          <cell r="H561" t="str">
            <v>-</v>
          </cell>
          <cell r="J561" t="str">
            <v>형틀목공</v>
          </cell>
          <cell r="K561" t="str">
            <v>박상규팀</v>
          </cell>
          <cell r="L561" t="str">
            <v>200212-02-465592</v>
          </cell>
          <cell r="M561" t="str">
            <v>우체국</v>
          </cell>
          <cell r="N561" t="str">
            <v>윤재훈</v>
          </cell>
          <cell r="O561">
            <v>41530</v>
          </cell>
          <cell r="R561">
            <v>45964</v>
          </cell>
          <cell r="S561">
            <v>45964</v>
          </cell>
          <cell r="T561">
            <v>45964</v>
          </cell>
          <cell r="V561" t="str">
            <v>형틀목공</v>
          </cell>
        </row>
        <row r="562">
          <cell r="A562" t="str">
            <v>배형희</v>
          </cell>
          <cell r="B562" t="str">
            <v>강원도 원주시 혁신로92 402-1003</v>
          </cell>
          <cell r="C562" t="str">
            <v>720307-1326616</v>
          </cell>
          <cell r="D562" t="str">
            <v>010-9923-0684</v>
          </cell>
          <cell r="E562">
            <v>235000</v>
          </cell>
          <cell r="F562" t="str">
            <v>남</v>
          </cell>
          <cell r="G562">
            <v>55</v>
          </cell>
          <cell r="H562" t="str">
            <v>-</v>
          </cell>
          <cell r="J562" t="str">
            <v>형틀목공</v>
          </cell>
          <cell r="K562" t="str">
            <v>박상규팀</v>
          </cell>
          <cell r="L562" t="str">
            <v>210-12-264035</v>
          </cell>
          <cell r="M562" t="str">
            <v>농협은행</v>
          </cell>
          <cell r="N562" t="str">
            <v>배형희</v>
          </cell>
          <cell r="O562">
            <v>41071</v>
          </cell>
          <cell r="R562">
            <v>45964</v>
          </cell>
          <cell r="S562">
            <v>45964</v>
          </cell>
          <cell r="T562">
            <v>45964</v>
          </cell>
          <cell r="V562" t="str">
            <v>형틀목공</v>
          </cell>
        </row>
        <row r="563">
          <cell r="A563" t="str">
            <v>임정혁</v>
          </cell>
          <cell r="B563" t="str">
            <v>춘천시 동내면 거두택지길88, 101-201</v>
          </cell>
          <cell r="C563" t="str">
            <v>680215-1261415</v>
          </cell>
          <cell r="D563" t="str">
            <v>010-5565-2799</v>
          </cell>
          <cell r="E563">
            <v>235000</v>
          </cell>
          <cell r="F563" t="str">
            <v>남</v>
          </cell>
          <cell r="G563">
            <v>59</v>
          </cell>
          <cell r="H563" t="str">
            <v>-</v>
          </cell>
          <cell r="J563" t="str">
            <v>형틀목공</v>
          </cell>
          <cell r="K563" t="str">
            <v>박상규팀</v>
          </cell>
          <cell r="L563" t="str">
            <v>202051-02-258590</v>
          </cell>
          <cell r="M563" t="str">
            <v>우체국</v>
          </cell>
          <cell r="N563" t="str">
            <v>임정혁</v>
          </cell>
          <cell r="O563">
            <v>41606</v>
          </cell>
          <cell r="R563">
            <v>45967</v>
          </cell>
          <cell r="S563">
            <v>45967</v>
          </cell>
          <cell r="T563">
            <v>45967</v>
          </cell>
          <cell r="V563" t="str">
            <v>형틀목공</v>
          </cell>
        </row>
        <row r="564">
          <cell r="A564" t="str">
            <v>이행호</v>
          </cell>
          <cell r="B564" t="str">
            <v>강원 원주 백간길 63,302-210</v>
          </cell>
          <cell r="C564" t="str">
            <v>671020-1539029</v>
          </cell>
          <cell r="D564" t="str">
            <v>010-4204-4941</v>
          </cell>
          <cell r="E564">
            <v>235000</v>
          </cell>
          <cell r="F564" t="str">
            <v>남</v>
          </cell>
          <cell r="G564">
            <v>60</v>
          </cell>
          <cell r="H564" t="str">
            <v>-</v>
          </cell>
          <cell r="J564" t="str">
            <v>형틀목공</v>
          </cell>
          <cell r="K564" t="str">
            <v>박상규팀</v>
          </cell>
          <cell r="L564" t="str">
            <v>402401-04-229770</v>
          </cell>
          <cell r="M564" t="str">
            <v>국민은행</v>
          </cell>
          <cell r="N564" t="str">
            <v>이행호</v>
          </cell>
          <cell r="O564">
            <v>42401</v>
          </cell>
          <cell r="R564">
            <v>46024</v>
          </cell>
          <cell r="S564">
            <v>46024</v>
          </cell>
          <cell r="T564">
            <v>46024</v>
          </cell>
          <cell r="V564" t="str">
            <v>형틀목공</v>
          </cell>
        </row>
        <row r="565">
          <cell r="A565" t="str">
            <v>이은재</v>
          </cell>
          <cell r="B565" t="str">
            <v>강원 원주 치악로 1551-1</v>
          </cell>
          <cell r="C565" t="str">
            <v>840811-1332720</v>
          </cell>
          <cell r="D565" t="str">
            <v>010-2696-8012</v>
          </cell>
          <cell r="E565">
            <v>235000</v>
          </cell>
          <cell r="F565" t="str">
            <v>남</v>
          </cell>
          <cell r="G565">
            <v>43</v>
          </cell>
          <cell r="H565" t="str">
            <v>-</v>
          </cell>
          <cell r="J565" t="str">
            <v>형틀목공</v>
          </cell>
          <cell r="K565" t="str">
            <v>박상규팀</v>
          </cell>
          <cell r="L565" t="str">
            <v>351-0534-1172-83</v>
          </cell>
          <cell r="M565" t="str">
            <v>농협은행</v>
          </cell>
          <cell r="N565" t="str">
            <v>이은재</v>
          </cell>
          <cell r="O565">
            <v>42794</v>
          </cell>
          <cell r="R565">
            <v>46074</v>
          </cell>
          <cell r="S565">
            <v>46074</v>
          </cell>
          <cell r="T565">
            <v>46074</v>
          </cell>
          <cell r="V565" t="str">
            <v>형틀목공</v>
          </cell>
        </row>
        <row r="566">
          <cell r="A566" t="str">
            <v>남효진</v>
          </cell>
          <cell r="B566" t="str">
            <v>강원도 춘천시 후석로228번길24,202동1104호</v>
          </cell>
          <cell r="C566" t="str">
            <v>841119-2025510</v>
          </cell>
          <cell r="D566" t="str">
            <v>010-7448-4494</v>
          </cell>
          <cell r="E566">
            <v>250000</v>
          </cell>
          <cell r="F566" t="str">
            <v>여</v>
          </cell>
          <cell r="G566">
            <v>43</v>
          </cell>
          <cell r="H566" t="str">
            <v>-</v>
          </cell>
          <cell r="J566" t="str">
            <v>형틀목공</v>
          </cell>
          <cell r="K566" t="str">
            <v>박상규팀</v>
          </cell>
          <cell r="L566" t="str">
            <v>3333-36-1092334</v>
          </cell>
          <cell r="M566" t="str">
            <v>카카오뱅크</v>
          </cell>
          <cell r="N566" t="str">
            <v>남효진</v>
          </cell>
          <cell r="O566">
            <v>46014</v>
          </cell>
          <cell r="Q566" t="str">
            <v/>
          </cell>
          <cell r="S566">
            <v>46078</v>
          </cell>
          <cell r="T566">
            <v>46078</v>
          </cell>
          <cell r="V566" t="str">
            <v>형틀목공</v>
          </cell>
        </row>
        <row r="567">
          <cell r="A567" t="str">
            <v>김광영</v>
          </cell>
          <cell r="B567" t="str">
            <v>강원 원주시 우산공단길37, 1-105</v>
          </cell>
          <cell r="C567" t="str">
            <v>720727-1326211</v>
          </cell>
          <cell r="D567" t="str">
            <v>010-3324-2629</v>
          </cell>
          <cell r="E567">
            <v>235000</v>
          </cell>
          <cell r="F567" t="str">
            <v>남</v>
          </cell>
          <cell r="G567">
            <v>55</v>
          </cell>
          <cell r="H567" t="str">
            <v>-</v>
          </cell>
          <cell r="J567" t="str">
            <v>형틀목공</v>
          </cell>
          <cell r="K567" t="str">
            <v>박상규팀</v>
          </cell>
          <cell r="L567" t="str">
            <v>3333-24-9516241</v>
          </cell>
          <cell r="M567" t="str">
            <v>카카오뱅크</v>
          </cell>
          <cell r="N567" t="str">
            <v>김광영</v>
          </cell>
          <cell r="O567">
            <v>42913</v>
          </cell>
          <cell r="R567">
            <v>46120</v>
          </cell>
          <cell r="S567">
            <v>46120</v>
          </cell>
          <cell r="T567">
            <v>46120</v>
          </cell>
          <cell r="V567" t="str">
            <v>형틀목공</v>
          </cell>
        </row>
        <row r="568">
          <cell r="F568" t="str">
            <v/>
          </cell>
          <cell r="G568" t="str">
            <v/>
          </cell>
          <cell r="H568" t="str">
            <v/>
          </cell>
          <cell r="Q568" t="str">
            <v/>
          </cell>
        </row>
        <row r="569">
          <cell r="F569" t="str">
            <v/>
          </cell>
          <cell r="G569" t="str">
            <v/>
          </cell>
          <cell r="H569" t="str">
            <v/>
          </cell>
          <cell r="Q569" t="str">
            <v/>
          </cell>
        </row>
        <row r="570">
          <cell r="F570" t="str">
            <v/>
          </cell>
          <cell r="G570" t="str">
            <v/>
          </cell>
          <cell r="H570" t="str">
            <v/>
          </cell>
          <cell r="Q570" t="str">
            <v/>
          </cell>
        </row>
        <row r="571">
          <cell r="F571" t="str">
            <v/>
          </cell>
          <cell r="G571" t="str">
            <v/>
          </cell>
          <cell r="H571" t="str">
            <v/>
          </cell>
          <cell r="Q571" t="str">
            <v/>
          </cell>
        </row>
        <row r="572">
          <cell r="A572" t="str">
            <v>정국철</v>
          </cell>
          <cell r="B572" t="str">
            <v>서울시 영등포구 신길로15가길5</v>
          </cell>
          <cell r="C572" t="str">
            <v>730823-5100495</v>
          </cell>
          <cell r="D572" t="str">
            <v>010-2380-8878</v>
          </cell>
          <cell r="E572">
            <v>230000</v>
          </cell>
          <cell r="F572" t="str">
            <v>남</v>
          </cell>
          <cell r="G572">
            <v>54</v>
          </cell>
          <cell r="H572" t="str">
            <v>외국인</v>
          </cell>
          <cell r="I572" t="str">
            <v>ZHENG GUOZHE</v>
          </cell>
          <cell r="J572" t="str">
            <v>형틀목공</v>
          </cell>
          <cell r="K572" t="str">
            <v>정국철</v>
          </cell>
          <cell r="L572" t="str">
            <v>1002-534-739828</v>
          </cell>
          <cell r="M572" t="str">
            <v>우리은행</v>
          </cell>
          <cell r="N572" t="str">
            <v>ZHENG GUOZHE</v>
          </cell>
          <cell r="O572">
            <v>41124</v>
          </cell>
          <cell r="P572" t="str">
            <v>결혼이민F-6</v>
          </cell>
          <cell r="Q572">
            <v>46913</v>
          </cell>
          <cell r="R572">
            <v>45961</v>
          </cell>
          <cell r="S572">
            <v>45961</v>
          </cell>
          <cell r="T572">
            <v>45961</v>
          </cell>
          <cell r="V572" t="str">
            <v>형틀목공</v>
          </cell>
          <cell r="W572" t="str">
            <v>중국</v>
          </cell>
        </row>
        <row r="573">
          <cell r="A573" t="str">
            <v>신송학</v>
          </cell>
          <cell r="B573" t="str">
            <v>서울 영등포구 가마산로67길 6-1</v>
          </cell>
          <cell r="C573" t="str">
            <v>640604-5101196</v>
          </cell>
          <cell r="D573" t="str">
            <v>010-5509-0272</v>
          </cell>
          <cell r="E573">
            <v>230000</v>
          </cell>
          <cell r="F573" t="str">
            <v>남</v>
          </cell>
          <cell r="G573">
            <v>63</v>
          </cell>
          <cell r="H573" t="str">
            <v>외국인</v>
          </cell>
          <cell r="I573" t="str">
            <v>SHEN SONGXUE</v>
          </cell>
          <cell r="J573" t="str">
            <v>형틀목공</v>
          </cell>
          <cell r="K573" t="str">
            <v>정국철</v>
          </cell>
          <cell r="L573" t="str">
            <v>352-1479-5819-43</v>
          </cell>
          <cell r="M573" t="str">
            <v>농협은행</v>
          </cell>
          <cell r="N573" t="str">
            <v>SHEN SONGXUE</v>
          </cell>
          <cell r="O573">
            <v>41916</v>
          </cell>
          <cell r="P573" t="str">
            <v>재외동포F-4</v>
          </cell>
          <cell r="Q573">
            <v>46458</v>
          </cell>
          <cell r="R573">
            <v>45978</v>
          </cell>
          <cell r="S573">
            <v>45978</v>
          </cell>
          <cell r="T573">
            <v>45978</v>
          </cell>
          <cell r="V573" t="str">
            <v>형틀목공</v>
          </cell>
          <cell r="W573" t="str">
            <v>중국</v>
          </cell>
        </row>
        <row r="574">
          <cell r="A574" t="str">
            <v>최동춘</v>
          </cell>
          <cell r="B574" t="str">
            <v>서울 송파구 위례성대로8길68</v>
          </cell>
          <cell r="C574" t="str">
            <v>790808-5100019</v>
          </cell>
          <cell r="D574" t="str">
            <v>010-3870-3577</v>
          </cell>
          <cell r="E574">
            <v>220000</v>
          </cell>
          <cell r="F574" t="str">
            <v>남</v>
          </cell>
          <cell r="G574">
            <v>48</v>
          </cell>
          <cell r="H574" t="str">
            <v>외국인</v>
          </cell>
          <cell r="I574" t="str">
            <v>CUI DONGCHUN</v>
          </cell>
          <cell r="J574" t="str">
            <v>형틀목공</v>
          </cell>
          <cell r="K574" t="str">
            <v>정국철</v>
          </cell>
          <cell r="L574" t="str">
            <v>352-0522-5262-73</v>
          </cell>
          <cell r="M574" t="str">
            <v>농협은행</v>
          </cell>
          <cell r="N574" t="str">
            <v>CUI DONGCHUN</v>
          </cell>
          <cell r="O574">
            <v>42583</v>
          </cell>
          <cell r="P574" t="str">
            <v>재외동포F-4</v>
          </cell>
          <cell r="Q574">
            <v>46536</v>
          </cell>
          <cell r="R574">
            <v>45961</v>
          </cell>
          <cell r="S574">
            <v>45961</v>
          </cell>
          <cell r="T574">
            <v>45961</v>
          </cell>
          <cell r="V574" t="str">
            <v>형틀목공</v>
          </cell>
          <cell r="W574" t="str">
            <v>중국</v>
          </cell>
        </row>
        <row r="575">
          <cell r="A575" t="str">
            <v>정봉식</v>
          </cell>
          <cell r="B575" t="str">
            <v>경기도 성남시 수정구 수정남로84번길6</v>
          </cell>
          <cell r="C575" t="str">
            <v>710118-5140894</v>
          </cell>
          <cell r="D575" t="str">
            <v>010-8497-7110</v>
          </cell>
          <cell r="E575">
            <v>210000</v>
          </cell>
          <cell r="F575" t="str">
            <v>남</v>
          </cell>
          <cell r="G575">
            <v>56</v>
          </cell>
          <cell r="H575" t="str">
            <v>외국인</v>
          </cell>
          <cell r="I575" t="str">
            <v>ZHENG FENGZHI</v>
          </cell>
          <cell r="J575" t="str">
            <v>형틀목공</v>
          </cell>
          <cell r="K575" t="str">
            <v>정국철</v>
          </cell>
          <cell r="L575" t="str">
            <v>351-0395-2428-43</v>
          </cell>
          <cell r="M575" t="str">
            <v>농협은행</v>
          </cell>
          <cell r="N575" t="str">
            <v>ZHENG FENGZHI</v>
          </cell>
          <cell r="O575">
            <v>44564</v>
          </cell>
          <cell r="P575" t="str">
            <v>방문취업H-2</v>
          </cell>
          <cell r="Q575">
            <v>46270</v>
          </cell>
          <cell r="R575">
            <v>45961</v>
          </cell>
          <cell r="S575">
            <v>45961</v>
          </cell>
          <cell r="T575">
            <v>45961</v>
          </cell>
          <cell r="V575" t="str">
            <v>형틀목공</v>
          </cell>
          <cell r="W575" t="str">
            <v>중국</v>
          </cell>
        </row>
        <row r="576">
          <cell r="A576" t="str">
            <v>김상범</v>
          </cell>
          <cell r="B576" t="str">
            <v>경기도 평택시 포승읍 여술3길 9-5</v>
          </cell>
          <cell r="C576" t="str">
            <v>650923-5700024</v>
          </cell>
          <cell r="D576" t="str">
            <v>010-4165-1017</v>
          </cell>
          <cell r="E576">
            <v>210000</v>
          </cell>
          <cell r="F576" t="str">
            <v>남</v>
          </cell>
          <cell r="G576">
            <v>62</v>
          </cell>
          <cell r="H576" t="str">
            <v>외국인</v>
          </cell>
          <cell r="I576" t="str">
            <v>JIN XIANGFAN</v>
          </cell>
          <cell r="J576" t="str">
            <v>형틀목공</v>
          </cell>
          <cell r="K576" t="str">
            <v>정국철</v>
          </cell>
          <cell r="L576" t="str">
            <v>1010-2735-4600</v>
          </cell>
          <cell r="M576" t="str">
            <v>수협은행</v>
          </cell>
          <cell r="N576" t="str">
            <v>(주)우민이엔지</v>
          </cell>
          <cell r="O576">
            <v>44880</v>
          </cell>
          <cell r="P576" t="str">
            <v>재외동포F-4</v>
          </cell>
          <cell r="Q576">
            <v>46794</v>
          </cell>
          <cell r="R576">
            <v>45966</v>
          </cell>
          <cell r="S576">
            <v>45966</v>
          </cell>
          <cell r="T576">
            <v>45966</v>
          </cell>
          <cell r="V576" t="str">
            <v>형틀목공</v>
          </cell>
          <cell r="W576" t="str">
            <v>중국</v>
          </cell>
        </row>
        <row r="577">
          <cell r="A577" t="str">
            <v>김호</v>
          </cell>
          <cell r="B577" t="str">
            <v>서울 영등포구 대림로 314길 1-3</v>
          </cell>
          <cell r="C577" t="str">
            <v>811211-5101691</v>
          </cell>
          <cell r="D577" t="str">
            <v>010-5886-8999</v>
          </cell>
          <cell r="E577">
            <v>210000</v>
          </cell>
          <cell r="F577" t="str">
            <v>남</v>
          </cell>
          <cell r="G577">
            <v>46</v>
          </cell>
          <cell r="H577" t="str">
            <v>외국인</v>
          </cell>
          <cell r="I577" t="str">
            <v>JIN HAO</v>
          </cell>
          <cell r="J577" t="str">
            <v>형틀목공</v>
          </cell>
          <cell r="K577" t="str">
            <v>정국철</v>
          </cell>
          <cell r="L577" t="str">
            <v>1010-2735-4600</v>
          </cell>
          <cell r="M577" t="str">
            <v>수협은행</v>
          </cell>
          <cell r="N577" t="str">
            <v>(주)우민이엔지</v>
          </cell>
          <cell r="O577">
            <v>44171</v>
          </cell>
          <cell r="P577" t="str">
            <v>재외동포F-4</v>
          </cell>
          <cell r="Q577">
            <v>46855</v>
          </cell>
          <cell r="R577">
            <v>45971</v>
          </cell>
          <cell r="S577">
            <v>45971</v>
          </cell>
          <cell r="T577">
            <v>45971</v>
          </cell>
          <cell r="V577" t="str">
            <v>형틀목공</v>
          </cell>
          <cell r="W577" t="str">
            <v>중국</v>
          </cell>
        </row>
        <row r="578">
          <cell r="A578" t="str">
            <v>유창권</v>
          </cell>
          <cell r="B578" t="str">
            <v>소사구 괴안로 부광로 43</v>
          </cell>
          <cell r="C578" t="str">
            <v>691217-5120192</v>
          </cell>
          <cell r="D578" t="str">
            <v>010-8863-0355</v>
          </cell>
          <cell r="E578">
            <v>210000</v>
          </cell>
          <cell r="F578" t="str">
            <v>남</v>
          </cell>
          <cell r="G578">
            <v>58</v>
          </cell>
          <cell r="H578" t="str">
            <v>외국인</v>
          </cell>
          <cell r="I578" t="str">
            <v>YU CHANGQUAN</v>
          </cell>
          <cell r="J578" t="str">
            <v>형틀목공</v>
          </cell>
          <cell r="K578" t="str">
            <v>정국철</v>
          </cell>
          <cell r="L578" t="str">
            <v>1010-2735-4600</v>
          </cell>
          <cell r="M578" t="str">
            <v>수협은행</v>
          </cell>
          <cell r="N578" t="str">
            <v>(주)우민이엔지</v>
          </cell>
          <cell r="O578">
            <v>45672</v>
          </cell>
          <cell r="P578" t="str">
            <v>재외동포F-4</v>
          </cell>
          <cell r="Q578">
            <v>46927</v>
          </cell>
          <cell r="R578">
            <v>45971</v>
          </cell>
          <cell r="S578">
            <v>45971</v>
          </cell>
          <cell r="T578">
            <v>45971</v>
          </cell>
          <cell r="V578" t="str">
            <v>형틀목공</v>
          </cell>
          <cell r="W578" t="str">
            <v>중국</v>
          </cell>
        </row>
        <row r="579">
          <cell r="A579" t="str">
            <v>송정문</v>
          </cell>
          <cell r="B579" t="str">
            <v>서울 동대문구 신이문로 18길42,1층</v>
          </cell>
          <cell r="C579" t="str">
            <v>860906-5780025</v>
          </cell>
          <cell r="D579" t="str">
            <v>010-5838-3666</v>
          </cell>
          <cell r="E579">
            <v>210000</v>
          </cell>
          <cell r="F579" t="str">
            <v>남</v>
          </cell>
          <cell r="G579">
            <v>41</v>
          </cell>
          <cell r="H579" t="str">
            <v>외국인</v>
          </cell>
          <cell r="I579" t="str">
            <v>SONG ZHENGWEN</v>
          </cell>
          <cell r="J579" t="str">
            <v>형틀목공</v>
          </cell>
          <cell r="K579" t="str">
            <v>정국철</v>
          </cell>
          <cell r="O579">
            <v>42803</v>
          </cell>
          <cell r="P579" t="str">
            <v>재외동포F4</v>
          </cell>
          <cell r="Q579">
            <v>46194</v>
          </cell>
          <cell r="R579">
            <v>45992</v>
          </cell>
          <cell r="S579">
            <v>45992</v>
          </cell>
          <cell r="T579">
            <v>45992</v>
          </cell>
          <cell r="V579" t="str">
            <v>형틀목공</v>
          </cell>
          <cell r="W579" t="str">
            <v>중국</v>
          </cell>
        </row>
        <row r="580">
          <cell r="A580" t="str">
            <v>강문길</v>
          </cell>
          <cell r="B580" t="str">
            <v>서울 영등포구 대림로12 나길 5</v>
          </cell>
          <cell r="C580" t="str">
            <v>830727-1057117</v>
          </cell>
          <cell r="D580" t="str">
            <v>010-5871-5688</v>
          </cell>
          <cell r="E580">
            <v>210000</v>
          </cell>
          <cell r="F580" t="str">
            <v>남</v>
          </cell>
          <cell r="G580">
            <v>44</v>
          </cell>
          <cell r="H580" t="str">
            <v>-</v>
          </cell>
          <cell r="J580" t="str">
            <v>형틀목공</v>
          </cell>
          <cell r="K580" t="str">
            <v>정국철</v>
          </cell>
          <cell r="O580">
            <v>41590</v>
          </cell>
          <cell r="R580">
            <v>46007</v>
          </cell>
          <cell r="S580">
            <v>46007</v>
          </cell>
          <cell r="T580">
            <v>46007</v>
          </cell>
          <cell r="V580" t="str">
            <v>형틀목공</v>
          </cell>
        </row>
        <row r="581">
          <cell r="A581" t="str">
            <v>왕홍빈</v>
          </cell>
          <cell r="B581" t="str">
            <v>서울 구로구 구로동로7가길 20-3</v>
          </cell>
          <cell r="C581" t="str">
            <v>780713-5240898</v>
          </cell>
          <cell r="D581" t="str">
            <v>010-5433-8636</v>
          </cell>
          <cell r="E581">
            <v>210000</v>
          </cell>
          <cell r="F581" t="str">
            <v>남</v>
          </cell>
          <cell r="G581">
            <v>49</v>
          </cell>
          <cell r="H581" t="str">
            <v>외국인</v>
          </cell>
          <cell r="I581" t="str">
            <v>WANG HONGBIN</v>
          </cell>
          <cell r="J581" t="str">
            <v>형틀목공</v>
          </cell>
          <cell r="K581" t="str">
            <v>정국철</v>
          </cell>
          <cell r="O581">
            <v>42650</v>
          </cell>
          <cell r="P581" t="str">
            <v>영주F5</v>
          </cell>
          <cell r="Q581">
            <v>47628</v>
          </cell>
          <cell r="R581">
            <v>46007</v>
          </cell>
          <cell r="S581">
            <v>46007</v>
          </cell>
          <cell r="T581">
            <v>46007</v>
          </cell>
          <cell r="V581" t="str">
            <v>형틀목공</v>
          </cell>
          <cell r="W581" t="str">
            <v>중국</v>
          </cell>
        </row>
        <row r="582">
          <cell r="A582" t="str">
            <v>장춘빈</v>
          </cell>
          <cell r="B582" t="str">
            <v>경기 고양 일산서구 일산로 725-45,202</v>
          </cell>
          <cell r="C582" t="str">
            <v>700504-5141395</v>
          </cell>
          <cell r="D582" t="str">
            <v>010-7493-7014</v>
          </cell>
          <cell r="E582">
            <v>210000</v>
          </cell>
          <cell r="F582" t="str">
            <v>남</v>
          </cell>
          <cell r="G582">
            <v>57</v>
          </cell>
          <cell r="H582" t="str">
            <v>외국인</v>
          </cell>
          <cell r="I582" t="str">
            <v>ZHANG CHUNBIN</v>
          </cell>
          <cell r="J582" t="str">
            <v>형틀목공</v>
          </cell>
          <cell r="K582" t="str">
            <v>정국철</v>
          </cell>
          <cell r="O582">
            <v>44000</v>
          </cell>
          <cell r="P582" t="str">
            <v>재외동포F4</v>
          </cell>
          <cell r="Q582">
            <v>46596</v>
          </cell>
          <cell r="R582">
            <v>46007</v>
          </cell>
          <cell r="S582">
            <v>46007</v>
          </cell>
          <cell r="T582">
            <v>46007</v>
          </cell>
          <cell r="V582" t="str">
            <v>형틀목공</v>
          </cell>
          <cell r="W582" t="str">
            <v>중국</v>
          </cell>
        </row>
        <row r="583">
          <cell r="A583" t="str">
            <v>류영남형</v>
          </cell>
          <cell r="B583" t="str">
            <v xml:space="preserve">강원 원주 토지길 </v>
          </cell>
          <cell r="C583" t="str">
            <v>700314-5103294</v>
          </cell>
          <cell r="D583" t="str">
            <v>010-2592-7985</v>
          </cell>
          <cell r="E583">
            <v>210000</v>
          </cell>
          <cell r="F583" t="str">
            <v>남</v>
          </cell>
          <cell r="G583">
            <v>57</v>
          </cell>
          <cell r="H583" t="str">
            <v>외국인</v>
          </cell>
          <cell r="I583" t="str">
            <v>LIU YONGNAN</v>
          </cell>
          <cell r="J583" t="str">
            <v>형틀목공</v>
          </cell>
          <cell r="K583" t="str">
            <v>정국철</v>
          </cell>
          <cell r="L583" t="str">
            <v>1010-2735-4600</v>
          </cell>
          <cell r="M583" t="str">
            <v>수협은행</v>
          </cell>
          <cell r="N583" t="str">
            <v>(주)우민이엔지</v>
          </cell>
          <cell r="O583">
            <v>41743</v>
          </cell>
          <cell r="P583" t="str">
            <v>재외동포F4</v>
          </cell>
          <cell r="Q583">
            <v>46741</v>
          </cell>
          <cell r="R583">
            <v>46006</v>
          </cell>
          <cell r="S583">
            <v>46006</v>
          </cell>
          <cell r="T583">
            <v>46006</v>
          </cell>
          <cell r="V583" t="str">
            <v>형틀목공</v>
          </cell>
          <cell r="W583" t="str">
            <v>중국</v>
          </cell>
        </row>
        <row r="584">
          <cell r="F584" t="str">
            <v/>
          </cell>
          <cell r="G584" t="str">
            <v/>
          </cell>
          <cell r="H584" t="str">
            <v/>
          </cell>
          <cell r="Q584" t="str">
            <v/>
          </cell>
        </row>
        <row r="585">
          <cell r="F585" t="str">
            <v/>
          </cell>
          <cell r="G585" t="str">
            <v/>
          </cell>
          <cell r="H585" t="str">
            <v/>
          </cell>
          <cell r="Q585" t="str">
            <v/>
          </cell>
        </row>
        <row r="586">
          <cell r="F586" t="str">
            <v/>
          </cell>
          <cell r="G586" t="str">
            <v/>
          </cell>
          <cell r="H586" t="str">
            <v/>
          </cell>
          <cell r="Q586" t="str">
            <v/>
          </cell>
        </row>
        <row r="587">
          <cell r="A587" t="str">
            <v>장한</v>
          </cell>
          <cell r="B587" t="str">
            <v xml:space="preserve">충남 아산시 음봉면 음봉로681번길24 </v>
          </cell>
          <cell r="C587" t="str">
            <v>650402-5820017</v>
          </cell>
          <cell r="D587" t="str">
            <v>010-9290-5158</v>
          </cell>
          <cell r="E587">
            <v>230000</v>
          </cell>
          <cell r="F587" t="str">
            <v>남</v>
          </cell>
          <cell r="G587">
            <v>62</v>
          </cell>
          <cell r="H587" t="str">
            <v>외국인</v>
          </cell>
          <cell r="I587" t="str">
            <v>ZHANG HAN</v>
          </cell>
          <cell r="J587" t="str">
            <v>형틀목공</v>
          </cell>
          <cell r="K587" t="str">
            <v>정국철</v>
          </cell>
          <cell r="L587" t="str">
            <v>010-9290-5158</v>
          </cell>
          <cell r="M587" t="str">
            <v>기업은행</v>
          </cell>
          <cell r="N587" t="str">
            <v>ZHANG HAN</v>
          </cell>
          <cell r="O587">
            <v>43999</v>
          </cell>
          <cell r="P587" t="str">
            <v>재외동포F-4</v>
          </cell>
          <cell r="Q587">
            <v>46091</v>
          </cell>
          <cell r="R587">
            <v>45961</v>
          </cell>
          <cell r="S587">
            <v>45961</v>
          </cell>
          <cell r="T587">
            <v>45961</v>
          </cell>
          <cell r="V587" t="str">
            <v>형틀목공</v>
          </cell>
          <cell r="W587" t="str">
            <v>중국</v>
          </cell>
        </row>
        <row r="588">
          <cell r="A588" t="str">
            <v>한동철</v>
          </cell>
          <cell r="B588" t="str">
            <v>서울 구로구 구로중앙로26가길12-13</v>
          </cell>
          <cell r="C588" t="str">
            <v>821208-5100894</v>
          </cell>
          <cell r="D588" t="str">
            <v>010-5680-5332</v>
          </cell>
          <cell r="E588">
            <v>210000</v>
          </cell>
          <cell r="F588" t="str">
            <v>남</v>
          </cell>
          <cell r="G588">
            <v>45</v>
          </cell>
          <cell r="H588" t="str">
            <v>외국인</v>
          </cell>
          <cell r="I588" t="str">
            <v>HAN DONGZHE</v>
          </cell>
          <cell r="J588" t="str">
            <v>형틀목공</v>
          </cell>
          <cell r="K588" t="str">
            <v>장한</v>
          </cell>
          <cell r="L588" t="str">
            <v>159-910701-14307</v>
          </cell>
          <cell r="M588" t="str">
            <v>하나은행</v>
          </cell>
          <cell r="N588" t="str">
            <v>HAN DONGZHE</v>
          </cell>
          <cell r="O588">
            <v>44623</v>
          </cell>
          <cell r="P588" t="str">
            <v>영주F5</v>
          </cell>
          <cell r="Q588">
            <v>49423</v>
          </cell>
          <cell r="R588">
            <v>45989</v>
          </cell>
          <cell r="S588">
            <v>45989</v>
          </cell>
          <cell r="T588">
            <v>45989</v>
          </cell>
          <cell r="V588" t="str">
            <v>형틀목공</v>
          </cell>
          <cell r="W588" t="str">
            <v>중국</v>
          </cell>
        </row>
        <row r="589">
          <cell r="F589" t="str">
            <v/>
          </cell>
          <cell r="G589" t="str">
            <v/>
          </cell>
          <cell r="H589" t="str">
            <v/>
          </cell>
          <cell r="Q589" t="str">
            <v/>
          </cell>
        </row>
        <row r="590">
          <cell r="A590" t="str">
            <v>곽호</v>
          </cell>
          <cell r="B590" t="str">
            <v>원주시 명륜동 835-13</v>
          </cell>
          <cell r="C590" t="str">
            <v>700713-5</v>
          </cell>
          <cell r="D590" t="str">
            <v>010-8192-7206</v>
          </cell>
          <cell r="E590">
            <v>210000</v>
          </cell>
          <cell r="F590" t="str">
            <v>남</v>
          </cell>
          <cell r="G590">
            <v>57</v>
          </cell>
          <cell r="H590" t="str">
            <v>외국인</v>
          </cell>
          <cell r="I590" t="str">
            <v>GUO HAO</v>
          </cell>
          <cell r="J590" t="str">
            <v>형틀목공</v>
          </cell>
          <cell r="K590" t="str">
            <v>장한</v>
          </cell>
          <cell r="L590" t="str">
            <v>357-910656-61807</v>
          </cell>
          <cell r="M590" t="str">
            <v>하나은행</v>
          </cell>
          <cell r="N590" t="str">
            <v>GUO HAO</v>
          </cell>
          <cell r="O590" t="str">
            <v>없음</v>
          </cell>
          <cell r="R590">
            <v>45989</v>
          </cell>
          <cell r="S590">
            <v>45989</v>
          </cell>
          <cell r="T590">
            <v>45989</v>
          </cell>
          <cell r="U590" t="str">
            <v>EH9349213</v>
          </cell>
          <cell r="V590" t="str">
            <v>형틀목공</v>
          </cell>
          <cell r="W590" t="str">
            <v>중국</v>
          </cell>
        </row>
        <row r="591">
          <cell r="A591" t="str">
            <v>위자봉</v>
          </cell>
          <cell r="B591" t="str">
            <v>원주시 명륜동 835-13</v>
          </cell>
          <cell r="C591" t="str">
            <v>740829-5</v>
          </cell>
          <cell r="D591" t="str">
            <v>010-2778-8688</v>
          </cell>
          <cell r="E591">
            <v>210000</v>
          </cell>
          <cell r="F591" t="str">
            <v>남</v>
          </cell>
          <cell r="G591">
            <v>53</v>
          </cell>
          <cell r="H591" t="str">
            <v>외국인</v>
          </cell>
          <cell r="I591" t="str">
            <v>YU ZIFENG</v>
          </cell>
          <cell r="J591" t="str">
            <v>형틀목공</v>
          </cell>
          <cell r="K591" t="str">
            <v>장한</v>
          </cell>
          <cell r="L591" t="str">
            <v>132-107-337041</v>
          </cell>
          <cell r="M591" t="str">
            <v>신용협동조합</v>
          </cell>
          <cell r="N591" t="str">
            <v>YU ZIFENG</v>
          </cell>
          <cell r="O591">
            <v>43872</v>
          </cell>
          <cell r="R591">
            <v>45989</v>
          </cell>
          <cell r="S591">
            <v>45989</v>
          </cell>
          <cell r="T591">
            <v>45989</v>
          </cell>
          <cell r="U591" t="str">
            <v>E84828759</v>
          </cell>
          <cell r="V591" t="str">
            <v>형틀목공</v>
          </cell>
          <cell r="W591" t="str">
            <v>중국</v>
          </cell>
        </row>
        <row r="592">
          <cell r="A592" t="str">
            <v>위소군</v>
          </cell>
          <cell r="B592" t="str">
            <v>원주시 명륜동 835-13</v>
          </cell>
          <cell r="C592" t="str">
            <v>761202-5</v>
          </cell>
          <cell r="D592" t="str">
            <v>010-4451-6689</v>
          </cell>
          <cell r="E592">
            <v>210000</v>
          </cell>
          <cell r="F592" t="str">
            <v>남</v>
          </cell>
          <cell r="G592">
            <v>51</v>
          </cell>
          <cell r="H592" t="str">
            <v>외국인</v>
          </cell>
          <cell r="I592" t="str">
            <v>YU XIAOJUN</v>
          </cell>
          <cell r="J592" t="str">
            <v>형틀목공</v>
          </cell>
          <cell r="K592" t="str">
            <v>장한</v>
          </cell>
          <cell r="L592" t="str">
            <v>652-910573-31707</v>
          </cell>
          <cell r="M592" t="str">
            <v>하나은행</v>
          </cell>
          <cell r="N592" t="str">
            <v>YU XIAOJUN</v>
          </cell>
          <cell r="O592">
            <v>43384</v>
          </cell>
          <cell r="R592">
            <v>45989</v>
          </cell>
          <cell r="S592">
            <v>45989</v>
          </cell>
          <cell r="T592">
            <v>45989</v>
          </cell>
          <cell r="U592" t="str">
            <v>EB7355319</v>
          </cell>
          <cell r="V592" t="str">
            <v>형틀목공</v>
          </cell>
          <cell r="W592" t="str">
            <v>중국</v>
          </cell>
        </row>
        <row r="593">
          <cell r="A593" t="str">
            <v>한원준</v>
          </cell>
          <cell r="B593" t="str">
            <v>원주시 명륜동 835-13</v>
          </cell>
          <cell r="C593" t="str">
            <v>710111-5</v>
          </cell>
          <cell r="D593" t="str">
            <v>010-3037-6188</v>
          </cell>
          <cell r="E593">
            <v>210000</v>
          </cell>
          <cell r="F593" t="str">
            <v>남</v>
          </cell>
          <cell r="G593">
            <v>56</v>
          </cell>
          <cell r="H593" t="str">
            <v>외국인</v>
          </cell>
          <cell r="I593" t="str">
            <v>HAN WENHUI</v>
          </cell>
          <cell r="J593" t="str">
            <v>형틀목공</v>
          </cell>
          <cell r="K593" t="str">
            <v>장한</v>
          </cell>
          <cell r="L593" t="str">
            <v>330-910279-75007</v>
          </cell>
          <cell r="M593" t="str">
            <v>하나은행</v>
          </cell>
          <cell r="N593" t="str">
            <v>HAN WENHUI</v>
          </cell>
          <cell r="O593">
            <v>43719</v>
          </cell>
          <cell r="R593">
            <v>45989</v>
          </cell>
          <cell r="S593">
            <v>45989</v>
          </cell>
          <cell r="T593">
            <v>45989</v>
          </cell>
          <cell r="U593" t="str">
            <v>EL8337011</v>
          </cell>
          <cell r="V593" t="str">
            <v>형틀목공</v>
          </cell>
          <cell r="W593" t="str">
            <v>중국</v>
          </cell>
        </row>
        <row r="594">
          <cell r="A594" t="str">
            <v>림자강</v>
          </cell>
          <cell r="B594" t="str">
            <v>원주시 명륜동 835-13</v>
          </cell>
          <cell r="C594" t="str">
            <v>750603-5</v>
          </cell>
          <cell r="D594" t="str">
            <v>010-6853-3299</v>
          </cell>
          <cell r="E594">
            <v>210000</v>
          </cell>
          <cell r="F594" t="str">
            <v>남</v>
          </cell>
          <cell r="G594">
            <v>52</v>
          </cell>
          <cell r="H594" t="str">
            <v>외국인</v>
          </cell>
          <cell r="I594" t="str">
            <v>LING JIAGANG</v>
          </cell>
          <cell r="J594" t="str">
            <v>형틀목공</v>
          </cell>
          <cell r="K594" t="str">
            <v>장한</v>
          </cell>
          <cell r="L594" t="str">
            <v>339-910386-79207</v>
          </cell>
          <cell r="M594" t="str">
            <v>하나은행</v>
          </cell>
          <cell r="N594" t="str">
            <v>LING JIAGANG</v>
          </cell>
          <cell r="O594">
            <v>43187</v>
          </cell>
          <cell r="R594">
            <v>45961</v>
          </cell>
          <cell r="S594">
            <v>45961</v>
          </cell>
          <cell r="T594">
            <v>45961</v>
          </cell>
          <cell r="U594" t="str">
            <v>EC3230434</v>
          </cell>
          <cell r="V594" t="str">
            <v>형틀목공</v>
          </cell>
          <cell r="W594" t="str">
            <v>중국</v>
          </cell>
        </row>
        <row r="595">
          <cell r="A595" t="str">
            <v>장운</v>
          </cell>
          <cell r="B595" t="str">
            <v>원주시 명륜동 835-13</v>
          </cell>
          <cell r="C595" t="str">
            <v>760329-5</v>
          </cell>
          <cell r="D595" t="str">
            <v>010-7938-2555</v>
          </cell>
          <cell r="E595">
            <v>210000</v>
          </cell>
          <cell r="F595" t="str">
            <v>남</v>
          </cell>
          <cell r="G595">
            <v>51</v>
          </cell>
          <cell r="H595" t="str">
            <v>외국인</v>
          </cell>
          <cell r="I595" t="str">
            <v>ZHANG YUN</v>
          </cell>
          <cell r="J595" t="str">
            <v>형틀목공</v>
          </cell>
          <cell r="K595" t="str">
            <v>장한</v>
          </cell>
          <cell r="L595" t="str">
            <v>351-0065-0870-13</v>
          </cell>
          <cell r="M595" t="str">
            <v>농협은행</v>
          </cell>
          <cell r="N595" t="str">
            <v>ZHANG YUN</v>
          </cell>
          <cell r="O595">
            <v>42803</v>
          </cell>
          <cell r="R595">
            <v>45961</v>
          </cell>
          <cell r="S595">
            <v>45961</v>
          </cell>
          <cell r="T595">
            <v>45961</v>
          </cell>
          <cell r="U595" t="str">
            <v>E81436190</v>
          </cell>
          <cell r="V595" t="str">
            <v>형틀목공</v>
          </cell>
          <cell r="W595" t="str">
            <v>중국</v>
          </cell>
        </row>
        <row r="596">
          <cell r="A596" t="str">
            <v>이태원</v>
          </cell>
          <cell r="C596" t="str">
            <v>761116-5</v>
          </cell>
          <cell r="D596" t="str">
            <v>010-7516-2283</v>
          </cell>
          <cell r="E596">
            <v>210000</v>
          </cell>
          <cell r="F596" t="str">
            <v>남</v>
          </cell>
          <cell r="G596">
            <v>51</v>
          </cell>
          <cell r="H596" t="str">
            <v>외국인</v>
          </cell>
          <cell r="I596" t="str">
            <v>LI TAIYUAN</v>
          </cell>
          <cell r="J596" t="str">
            <v>형틀목공</v>
          </cell>
          <cell r="K596" t="str">
            <v>장한</v>
          </cell>
          <cell r="L596" t="str">
            <v>259-910395-28807</v>
          </cell>
          <cell r="M596" t="str">
            <v>하나은행</v>
          </cell>
          <cell r="N596" t="str">
            <v>LI TAIYUAN</v>
          </cell>
          <cell r="O596">
            <v>43296</v>
          </cell>
          <cell r="R596">
            <v>45961</v>
          </cell>
          <cell r="S596">
            <v>45961</v>
          </cell>
          <cell r="T596">
            <v>45961</v>
          </cell>
          <cell r="U596" t="str">
            <v>EG5815301</v>
          </cell>
          <cell r="V596" t="str">
            <v>형틀목공</v>
          </cell>
          <cell r="W596" t="str">
            <v>중국</v>
          </cell>
        </row>
        <row r="597">
          <cell r="A597" t="str">
            <v>부경원</v>
          </cell>
          <cell r="B597" t="str">
            <v>원주시 명륜동 835-13</v>
          </cell>
          <cell r="C597" t="str">
            <v>660329-5</v>
          </cell>
          <cell r="D597" t="str">
            <v>010-9629-6660</v>
          </cell>
          <cell r="E597">
            <v>210000</v>
          </cell>
          <cell r="F597" t="str">
            <v>남</v>
          </cell>
          <cell r="G597">
            <v>61</v>
          </cell>
          <cell r="H597" t="str">
            <v>외국인</v>
          </cell>
          <cell r="I597" t="str">
            <v>FU QINGYUN</v>
          </cell>
          <cell r="J597" t="str">
            <v>형틀목공</v>
          </cell>
          <cell r="K597" t="str">
            <v>장한</v>
          </cell>
          <cell r="L597" t="str">
            <v>652-910527-26607</v>
          </cell>
          <cell r="M597" t="str">
            <v>하나은행</v>
          </cell>
          <cell r="N597" t="str">
            <v>FU QINGYUN</v>
          </cell>
          <cell r="O597">
            <v>43635</v>
          </cell>
          <cell r="R597">
            <v>45961</v>
          </cell>
          <cell r="S597">
            <v>45961</v>
          </cell>
          <cell r="T597">
            <v>45961</v>
          </cell>
          <cell r="U597" t="str">
            <v>EE7519414</v>
          </cell>
          <cell r="V597" t="str">
            <v>형틀목공</v>
          </cell>
          <cell r="W597" t="str">
            <v>중국</v>
          </cell>
        </row>
        <row r="598">
          <cell r="A598" t="str">
            <v>전밍귀</v>
          </cell>
          <cell r="C598" t="str">
            <v>901005-5</v>
          </cell>
          <cell r="D598" t="str">
            <v>010-5709-3696</v>
          </cell>
          <cell r="E598">
            <v>210000</v>
          </cell>
          <cell r="F598" t="str">
            <v>남</v>
          </cell>
          <cell r="G598">
            <v>37</v>
          </cell>
          <cell r="H598" t="str">
            <v>외국인</v>
          </cell>
          <cell r="I598" t="str">
            <v>CHEN MINGGUO</v>
          </cell>
          <cell r="J598" t="str">
            <v>형틀목공</v>
          </cell>
          <cell r="K598" t="str">
            <v>장한</v>
          </cell>
          <cell r="L598" t="str">
            <v>357-910656-62407</v>
          </cell>
          <cell r="M598" t="str">
            <v>하나은행</v>
          </cell>
          <cell r="N598" t="str">
            <v>CHEN MINGGUO</v>
          </cell>
          <cell r="O598">
            <v>43530</v>
          </cell>
          <cell r="R598">
            <v>45961</v>
          </cell>
          <cell r="S598">
            <v>45961</v>
          </cell>
          <cell r="T598">
            <v>45961</v>
          </cell>
          <cell r="U598" t="str">
            <v>EE6993236</v>
          </cell>
          <cell r="V598" t="str">
            <v>형틀목공</v>
          </cell>
          <cell r="W598" t="str">
            <v>중국</v>
          </cell>
        </row>
        <row r="599">
          <cell r="A599" t="str">
            <v>전덕전</v>
          </cell>
          <cell r="C599" t="str">
            <v>740829-5</v>
          </cell>
          <cell r="D599" t="str">
            <v>010-2187-5518</v>
          </cell>
          <cell r="E599">
            <v>210000</v>
          </cell>
          <cell r="F599" t="str">
            <v>남</v>
          </cell>
          <cell r="G599">
            <v>53</v>
          </cell>
          <cell r="H599" t="str">
            <v>외국인</v>
          </cell>
          <cell r="I599" t="str">
            <v>CHEN DEQUAN</v>
          </cell>
          <cell r="J599" t="str">
            <v>형틀목공</v>
          </cell>
          <cell r="K599" t="str">
            <v>장한</v>
          </cell>
          <cell r="L599" t="str">
            <v>535-910475-32807</v>
          </cell>
          <cell r="M599" t="str">
            <v>하나은행</v>
          </cell>
          <cell r="N599" t="str">
            <v>CHEN DEQUAN</v>
          </cell>
          <cell r="O599">
            <v>43175</v>
          </cell>
          <cell r="R599">
            <v>45961</v>
          </cell>
          <cell r="S599">
            <v>45961</v>
          </cell>
          <cell r="T599">
            <v>45961</v>
          </cell>
          <cell r="U599" t="str">
            <v>EC2940716</v>
          </cell>
          <cell r="V599" t="str">
            <v>형틀목공</v>
          </cell>
          <cell r="W599" t="str">
            <v>중국</v>
          </cell>
        </row>
        <row r="600">
          <cell r="A600" t="str">
            <v>장경</v>
          </cell>
          <cell r="B600" t="str">
            <v>원주시 명륜동 835-13</v>
          </cell>
          <cell r="C600" t="str">
            <v>680105-5</v>
          </cell>
          <cell r="D600" t="str">
            <v>010-7593-0666</v>
          </cell>
          <cell r="E600">
            <v>210000</v>
          </cell>
          <cell r="F600" t="str">
            <v>남</v>
          </cell>
          <cell r="G600">
            <v>59</v>
          </cell>
          <cell r="H600" t="str">
            <v>외국인</v>
          </cell>
          <cell r="I600" t="str">
            <v>ZHANG QIONG</v>
          </cell>
          <cell r="J600" t="str">
            <v>형틀목공</v>
          </cell>
          <cell r="K600" t="str">
            <v>장한</v>
          </cell>
          <cell r="L600" t="str">
            <v>357-910656-60107</v>
          </cell>
          <cell r="M600" t="str">
            <v>하나은행</v>
          </cell>
          <cell r="N600" t="str">
            <v>ZHANG QIONG</v>
          </cell>
          <cell r="O600">
            <v>42878</v>
          </cell>
          <cell r="R600">
            <v>45961</v>
          </cell>
          <cell r="S600">
            <v>45961</v>
          </cell>
          <cell r="T600">
            <v>45961</v>
          </cell>
          <cell r="U600" t="str">
            <v>E84801850</v>
          </cell>
          <cell r="V600" t="str">
            <v>형틀목공</v>
          </cell>
          <cell r="W600" t="str">
            <v>중국</v>
          </cell>
        </row>
        <row r="601">
          <cell r="A601" t="str">
            <v>세수강</v>
          </cell>
          <cell r="B601" t="str">
            <v>원주시 명륜동 835-13</v>
          </cell>
          <cell r="C601" t="str">
            <v>870901-5</v>
          </cell>
          <cell r="D601" t="str">
            <v>010-7263-8997</v>
          </cell>
          <cell r="E601">
            <v>210000</v>
          </cell>
          <cell r="F601" t="str">
            <v>남</v>
          </cell>
          <cell r="G601">
            <v>40</v>
          </cell>
          <cell r="H601" t="str">
            <v>외국인</v>
          </cell>
          <cell r="I601" t="str">
            <v>XIE SHUQIANG</v>
          </cell>
          <cell r="J601" t="str">
            <v>형틀목공</v>
          </cell>
          <cell r="K601" t="str">
            <v>장한</v>
          </cell>
          <cell r="L601" t="str">
            <v>135-910675-70507</v>
          </cell>
          <cell r="M601" t="str">
            <v>하나은행</v>
          </cell>
          <cell r="N601" t="str">
            <v>XIE SHUQIANG</v>
          </cell>
          <cell r="O601">
            <v>43968</v>
          </cell>
          <cell r="R601">
            <v>45961</v>
          </cell>
          <cell r="S601">
            <v>45961</v>
          </cell>
          <cell r="T601">
            <v>45961</v>
          </cell>
          <cell r="U601" t="str">
            <v>E77855188</v>
          </cell>
          <cell r="V601" t="str">
            <v>형틀목공</v>
          </cell>
          <cell r="W601" t="str">
            <v>중국</v>
          </cell>
        </row>
        <row r="602">
          <cell r="A602" t="str">
            <v>대종성</v>
          </cell>
          <cell r="B602" t="str">
            <v>원주시 명륜동 835-13</v>
          </cell>
          <cell r="C602" t="str">
            <v>830925-5</v>
          </cell>
          <cell r="D602" t="str">
            <v>010-7267-0335</v>
          </cell>
          <cell r="E602">
            <v>210000</v>
          </cell>
          <cell r="F602" t="str">
            <v>남</v>
          </cell>
          <cell r="G602">
            <v>44</v>
          </cell>
          <cell r="H602" t="str">
            <v>외국인</v>
          </cell>
          <cell r="I602" t="str">
            <v>DAI ZHONGCHENG</v>
          </cell>
          <cell r="J602" t="str">
            <v>형틀목공</v>
          </cell>
          <cell r="K602" t="str">
            <v>장한</v>
          </cell>
          <cell r="L602" t="str">
            <v>351-0386-3949-13</v>
          </cell>
          <cell r="M602" t="str">
            <v>농협은행</v>
          </cell>
          <cell r="N602" t="str">
            <v>DAI ZHONGCHENG</v>
          </cell>
          <cell r="O602">
            <v>44617</v>
          </cell>
          <cell r="Q602" t="str">
            <v/>
          </cell>
          <cell r="R602">
            <v>45961</v>
          </cell>
          <cell r="S602">
            <v>45961</v>
          </cell>
          <cell r="T602">
            <v>45961</v>
          </cell>
          <cell r="U602" t="str">
            <v>EJ4917677</v>
          </cell>
          <cell r="V602" t="str">
            <v>형틀목공</v>
          </cell>
          <cell r="W602" t="str">
            <v>중국</v>
          </cell>
        </row>
        <row r="603">
          <cell r="A603" t="str">
            <v>채파</v>
          </cell>
          <cell r="B603" t="str">
            <v>원주시 명륜동 838-10</v>
          </cell>
          <cell r="C603" t="str">
            <v>870906-5</v>
          </cell>
          <cell r="D603" t="str">
            <v>010-6867-3186</v>
          </cell>
          <cell r="E603">
            <v>210000</v>
          </cell>
          <cell r="F603" t="str">
            <v>남</v>
          </cell>
          <cell r="G603">
            <v>40</v>
          </cell>
          <cell r="H603" t="str">
            <v>외국인</v>
          </cell>
          <cell r="I603" t="str">
            <v>CAI BO</v>
          </cell>
          <cell r="J603" t="str">
            <v>형틀목공</v>
          </cell>
          <cell r="K603" t="str">
            <v>장한</v>
          </cell>
          <cell r="L603" t="str">
            <v>159-910832-47807</v>
          </cell>
          <cell r="M603" t="str">
            <v>하나은행</v>
          </cell>
          <cell r="N603" t="str">
            <v>CAI BO</v>
          </cell>
          <cell r="O603">
            <v>44992</v>
          </cell>
          <cell r="R603">
            <v>45967</v>
          </cell>
          <cell r="S603">
            <v>45967</v>
          </cell>
          <cell r="T603">
            <v>45967</v>
          </cell>
          <cell r="U603" t="str">
            <v>ED0220992</v>
          </cell>
          <cell r="V603" t="str">
            <v>형틀목공</v>
          </cell>
          <cell r="W603" t="str">
            <v>중국</v>
          </cell>
        </row>
        <row r="604">
          <cell r="A604" t="str">
            <v>장지병</v>
          </cell>
          <cell r="B604" t="str">
            <v>원주시 단구동 1532-12</v>
          </cell>
          <cell r="C604" t="str">
            <v>800419-5</v>
          </cell>
          <cell r="D604" t="str">
            <v>010-2947-9222</v>
          </cell>
          <cell r="E604">
            <v>210000</v>
          </cell>
          <cell r="F604" t="str">
            <v>남</v>
          </cell>
          <cell r="G604">
            <v>47</v>
          </cell>
          <cell r="H604" t="str">
            <v>외국인</v>
          </cell>
          <cell r="I604" t="str">
            <v>ZHANG ZHIBING</v>
          </cell>
          <cell r="J604" t="str">
            <v>형틀목공</v>
          </cell>
          <cell r="K604" t="str">
            <v>장한</v>
          </cell>
          <cell r="L604" t="str">
            <v>010-7315-3288</v>
          </cell>
          <cell r="M604" t="str">
            <v>기업은행</v>
          </cell>
          <cell r="N604" t="str">
            <v>ZHANG ZHIBING</v>
          </cell>
          <cell r="O604">
            <v>43333</v>
          </cell>
          <cell r="R604">
            <v>45978</v>
          </cell>
          <cell r="S604">
            <v>45978</v>
          </cell>
          <cell r="T604">
            <v>45978</v>
          </cell>
          <cell r="U604" t="str">
            <v>E71555973</v>
          </cell>
          <cell r="V604" t="str">
            <v>형틀목공</v>
          </cell>
          <cell r="W604" t="str">
            <v>중국</v>
          </cell>
        </row>
        <row r="605">
          <cell r="A605" t="str">
            <v>료요평</v>
          </cell>
          <cell r="B605" t="str">
            <v>원주시 명륜동 838-10</v>
          </cell>
          <cell r="C605" t="str">
            <v>721120-5</v>
          </cell>
          <cell r="D605" t="str">
            <v>010-6713-7706</v>
          </cell>
          <cell r="E605">
            <v>210000</v>
          </cell>
          <cell r="F605" t="str">
            <v>남</v>
          </cell>
          <cell r="G605">
            <v>55</v>
          </cell>
          <cell r="H605" t="str">
            <v>외국인</v>
          </cell>
          <cell r="I605" t="str">
            <v>LIAO YAOPING</v>
          </cell>
          <cell r="J605" t="str">
            <v>형틀목공</v>
          </cell>
          <cell r="K605" t="str">
            <v>장한</v>
          </cell>
          <cell r="L605" t="str">
            <v>702845-56-039937</v>
          </cell>
          <cell r="M605" t="str">
            <v>농협은행</v>
          </cell>
          <cell r="N605" t="str">
            <v>LIAO YAOPING</v>
          </cell>
          <cell r="O605">
            <v>42893</v>
          </cell>
          <cell r="R605">
            <v>45985</v>
          </cell>
          <cell r="S605">
            <v>45985</v>
          </cell>
          <cell r="T605">
            <v>45985</v>
          </cell>
          <cell r="U605" t="str">
            <v>E55966926</v>
          </cell>
          <cell r="V605" t="str">
            <v>형틀목공</v>
          </cell>
          <cell r="W605" t="str">
            <v>중국</v>
          </cell>
        </row>
        <row r="606">
          <cell r="F606" t="str">
            <v/>
          </cell>
          <cell r="G606" t="str">
            <v/>
          </cell>
          <cell r="H606" t="str">
            <v/>
          </cell>
          <cell r="Q606" t="str">
            <v/>
          </cell>
        </row>
        <row r="607">
          <cell r="F607" t="str">
            <v/>
          </cell>
          <cell r="G607" t="str">
            <v/>
          </cell>
          <cell r="H607" t="str">
            <v/>
          </cell>
          <cell r="Q607" t="str">
            <v/>
          </cell>
        </row>
        <row r="608">
          <cell r="F608" t="str">
            <v/>
          </cell>
          <cell r="G608" t="str">
            <v/>
          </cell>
          <cell r="H608" t="str">
            <v/>
          </cell>
          <cell r="Q608" t="str">
            <v/>
          </cell>
        </row>
        <row r="609">
          <cell r="A609" t="str">
            <v>이남일</v>
          </cell>
          <cell r="B609" t="str">
            <v>구로구 구로동로 5길 17-25</v>
          </cell>
          <cell r="C609" t="str">
            <v>880522-5</v>
          </cell>
          <cell r="D609" t="str">
            <v>010-2225-5024</v>
          </cell>
          <cell r="F609" t="str">
            <v>남</v>
          </cell>
          <cell r="G609">
            <v>39</v>
          </cell>
          <cell r="H609" t="str">
            <v>외국인</v>
          </cell>
          <cell r="I609" t="str">
            <v>LI NANRI</v>
          </cell>
          <cell r="J609" t="str">
            <v>형틀목공</v>
          </cell>
          <cell r="K609" t="str">
            <v>정국철</v>
          </cell>
          <cell r="O609">
            <v>45256</v>
          </cell>
          <cell r="Q609" t="str">
            <v/>
          </cell>
          <cell r="R609">
            <v>46056</v>
          </cell>
          <cell r="S609">
            <v>46056</v>
          </cell>
          <cell r="T609">
            <v>46056</v>
          </cell>
          <cell r="U609" t="str">
            <v>EJ6847125</v>
          </cell>
          <cell r="V609" t="str">
            <v>형틀목공</v>
          </cell>
          <cell r="W609" t="str">
            <v>중국</v>
          </cell>
        </row>
        <row r="610">
          <cell r="A610" t="str">
            <v>류가명</v>
          </cell>
          <cell r="B610" t="str">
            <v>경기도 평택시 고덕면 동고3길 75-1</v>
          </cell>
          <cell r="C610" t="str">
            <v>840723-5</v>
          </cell>
          <cell r="D610" t="str">
            <v>010-5873-6068</v>
          </cell>
          <cell r="F610" t="str">
            <v>남</v>
          </cell>
          <cell r="G610">
            <v>43</v>
          </cell>
          <cell r="H610" t="str">
            <v>외국인</v>
          </cell>
          <cell r="I610" t="str">
            <v>LIU JIAMING</v>
          </cell>
          <cell r="J610" t="str">
            <v>형틀목공</v>
          </cell>
          <cell r="K610" t="str">
            <v>정국철</v>
          </cell>
          <cell r="O610">
            <v>43715</v>
          </cell>
          <cell r="Q610" t="str">
            <v/>
          </cell>
          <cell r="R610">
            <v>46079</v>
          </cell>
          <cell r="S610">
            <v>46079</v>
          </cell>
          <cell r="T610">
            <v>46079</v>
          </cell>
          <cell r="U610" t="str">
            <v>EN3758704</v>
          </cell>
          <cell r="V610" t="str">
            <v>형틀목공</v>
          </cell>
          <cell r="W610" t="str">
            <v>중국</v>
          </cell>
        </row>
        <row r="611">
          <cell r="A611" t="str">
            <v>류정성</v>
          </cell>
          <cell r="B611" t="str">
            <v>서울시 구로구 구로동교 50-22</v>
          </cell>
          <cell r="C611" t="str">
            <v>830412-5</v>
          </cell>
          <cell r="D611" t="str">
            <v>010-2296-4027</v>
          </cell>
          <cell r="F611" t="str">
            <v>남</v>
          </cell>
          <cell r="G611">
            <v>44</v>
          </cell>
          <cell r="H611" t="str">
            <v>외국인</v>
          </cell>
          <cell r="I611" t="str">
            <v>LIU ZHENGXING</v>
          </cell>
          <cell r="J611" t="str">
            <v>형틀목공</v>
          </cell>
          <cell r="K611" t="str">
            <v>정국철</v>
          </cell>
          <cell r="O611">
            <v>42618</v>
          </cell>
          <cell r="Q611" t="str">
            <v/>
          </cell>
          <cell r="R611">
            <v>46079</v>
          </cell>
          <cell r="S611">
            <v>46079</v>
          </cell>
          <cell r="T611">
            <v>46079</v>
          </cell>
          <cell r="U611" t="str">
            <v>EA5014297</v>
          </cell>
          <cell r="V611" t="str">
            <v>형틀목공</v>
          </cell>
          <cell r="W611" t="str">
            <v>중국</v>
          </cell>
        </row>
        <row r="612">
          <cell r="A612" t="str">
            <v>허철수</v>
          </cell>
          <cell r="B612" t="str">
            <v>서울 구로구 디지털로 21길7</v>
          </cell>
          <cell r="C612" t="str">
            <v>910224-5</v>
          </cell>
          <cell r="D612" t="str">
            <v>010-8468-4778</v>
          </cell>
          <cell r="F612" t="str">
            <v>남</v>
          </cell>
          <cell r="G612">
            <v>36</v>
          </cell>
          <cell r="H612" t="str">
            <v>외국인</v>
          </cell>
          <cell r="I612" t="str">
            <v>XU ZHEZHU</v>
          </cell>
          <cell r="J612" t="str">
            <v>용역</v>
          </cell>
          <cell r="K612" t="str">
            <v>정국철</v>
          </cell>
          <cell r="O612">
            <v>42636</v>
          </cell>
          <cell r="Q612" t="str">
            <v/>
          </cell>
          <cell r="R612">
            <v>46079</v>
          </cell>
          <cell r="S612">
            <v>46079</v>
          </cell>
          <cell r="T612">
            <v>46079</v>
          </cell>
          <cell r="U612" t="str">
            <v>EP8945831</v>
          </cell>
          <cell r="V612" t="str">
            <v>형틀목공</v>
          </cell>
          <cell r="W612" t="str">
            <v>중국</v>
          </cell>
        </row>
        <row r="613">
          <cell r="F613" t="str">
            <v/>
          </cell>
          <cell r="G613" t="str">
            <v/>
          </cell>
          <cell r="H613" t="str">
            <v/>
          </cell>
          <cell r="Q613" t="str">
            <v/>
          </cell>
        </row>
        <row r="614">
          <cell r="F614" t="str">
            <v/>
          </cell>
          <cell r="G614" t="str">
            <v/>
          </cell>
          <cell r="H614" t="str">
            <v/>
          </cell>
          <cell r="Q614" t="str">
            <v/>
          </cell>
        </row>
        <row r="615">
          <cell r="F615" t="str">
            <v/>
          </cell>
          <cell r="G615" t="str">
            <v/>
          </cell>
          <cell r="H615" t="str">
            <v/>
          </cell>
          <cell r="Q615" t="str">
            <v/>
          </cell>
        </row>
        <row r="616">
          <cell r="F616" t="str">
            <v/>
          </cell>
          <cell r="G616" t="str">
            <v/>
          </cell>
          <cell r="H616" t="str">
            <v/>
          </cell>
          <cell r="Q616" t="str">
            <v/>
          </cell>
        </row>
        <row r="617">
          <cell r="F617" t="str">
            <v/>
          </cell>
          <cell r="G617" t="str">
            <v/>
          </cell>
          <cell r="H617" t="str">
            <v/>
          </cell>
          <cell r="Q617" t="str">
            <v/>
          </cell>
        </row>
        <row r="618">
          <cell r="F618" t="str">
            <v/>
          </cell>
          <cell r="G618" t="str">
            <v/>
          </cell>
          <cell r="H618" t="str">
            <v/>
          </cell>
          <cell r="Q618" t="str">
            <v/>
          </cell>
        </row>
        <row r="619">
          <cell r="F619" t="str">
            <v/>
          </cell>
          <cell r="G619" t="str">
            <v/>
          </cell>
          <cell r="H619" t="str">
            <v/>
          </cell>
          <cell r="Q619" t="str">
            <v/>
          </cell>
        </row>
        <row r="620">
          <cell r="A620" t="str">
            <v>김광</v>
          </cell>
          <cell r="B620" t="str">
            <v>시흥시 정왕천로 369번길 45-17</v>
          </cell>
          <cell r="C620" t="str">
            <v>681004-5</v>
          </cell>
          <cell r="D620" t="str">
            <v>010-4357-9870</v>
          </cell>
          <cell r="E620">
            <v>210000</v>
          </cell>
          <cell r="F620" t="str">
            <v>남</v>
          </cell>
          <cell r="G620">
            <v>59</v>
          </cell>
          <cell r="H620" t="str">
            <v>외국인</v>
          </cell>
          <cell r="I620" t="str">
            <v>JIN GUANG</v>
          </cell>
          <cell r="J620" t="str">
            <v>형틀목공</v>
          </cell>
          <cell r="K620" t="str">
            <v>정국철</v>
          </cell>
          <cell r="O620">
            <v>42268</v>
          </cell>
          <cell r="R620">
            <v>46014</v>
          </cell>
          <cell r="S620">
            <v>46014</v>
          </cell>
          <cell r="T620">
            <v>46014</v>
          </cell>
          <cell r="U620" t="str">
            <v>EL0135897</v>
          </cell>
          <cell r="V620" t="str">
            <v>형틀목공</v>
          </cell>
          <cell r="W620" t="str">
            <v>중국</v>
          </cell>
        </row>
        <row r="621">
          <cell r="A621" t="str">
            <v>류태길</v>
          </cell>
          <cell r="B621" t="str">
            <v>인천 부평구 부개동 444-7</v>
          </cell>
          <cell r="C621" t="str">
            <v>910904-5</v>
          </cell>
          <cell r="D621" t="str">
            <v>010-5964-3488</v>
          </cell>
          <cell r="E621">
            <v>210000</v>
          </cell>
          <cell r="F621" t="str">
            <v>남</v>
          </cell>
          <cell r="G621">
            <v>36</v>
          </cell>
          <cell r="H621" t="str">
            <v>외국인</v>
          </cell>
          <cell r="I621" t="str">
            <v>LIU TAIJI</v>
          </cell>
          <cell r="J621" t="str">
            <v>형틀목공</v>
          </cell>
          <cell r="K621" t="str">
            <v>정국철</v>
          </cell>
          <cell r="O621">
            <v>42846</v>
          </cell>
          <cell r="R621">
            <v>46014</v>
          </cell>
          <cell r="S621">
            <v>46014</v>
          </cell>
          <cell r="T621">
            <v>46014</v>
          </cell>
          <cell r="U621" t="str">
            <v>EN8820206</v>
          </cell>
          <cell r="V621" t="str">
            <v>형틀목공</v>
          </cell>
          <cell r="W621" t="str">
            <v>중국</v>
          </cell>
        </row>
        <row r="622">
          <cell r="A622" t="str">
            <v>추원량</v>
          </cell>
          <cell r="B622" t="str">
            <v>안산시 원묵동 813-4</v>
          </cell>
          <cell r="C622" t="str">
            <v>740212-5</v>
          </cell>
          <cell r="D622" t="str">
            <v>010-7385-6687</v>
          </cell>
          <cell r="E622">
            <v>210000</v>
          </cell>
          <cell r="F622" t="str">
            <v>남</v>
          </cell>
          <cell r="G622">
            <v>53</v>
          </cell>
          <cell r="H622" t="str">
            <v>외국인</v>
          </cell>
          <cell r="I622" t="str">
            <v>CHU YUANLIANG</v>
          </cell>
          <cell r="J622" t="str">
            <v>형틀목공</v>
          </cell>
          <cell r="K622" t="str">
            <v>정국철</v>
          </cell>
          <cell r="O622">
            <v>43661</v>
          </cell>
          <cell r="Q622" t="str">
            <v/>
          </cell>
          <cell r="R622">
            <v>46014</v>
          </cell>
          <cell r="S622">
            <v>46014</v>
          </cell>
          <cell r="T622">
            <v>46014</v>
          </cell>
          <cell r="U622" t="str">
            <v>EN6406734</v>
          </cell>
          <cell r="V622" t="str">
            <v>형틀목공</v>
          </cell>
          <cell r="W622" t="str">
            <v>중국</v>
          </cell>
        </row>
        <row r="623">
          <cell r="A623" t="str">
            <v>왕쉬르</v>
          </cell>
          <cell r="B623" t="str">
            <v>구로구 남부순환로107가 6-8</v>
          </cell>
          <cell r="C623" t="str">
            <v>850925-5</v>
          </cell>
          <cell r="D623" t="str">
            <v>010-3087-7707</v>
          </cell>
          <cell r="E623">
            <v>210000</v>
          </cell>
          <cell r="F623" t="str">
            <v>남</v>
          </cell>
          <cell r="G623">
            <v>42</v>
          </cell>
          <cell r="H623" t="str">
            <v>외국인</v>
          </cell>
          <cell r="I623" t="str">
            <v>WANG XURI</v>
          </cell>
          <cell r="J623" t="str">
            <v>형틀목공</v>
          </cell>
          <cell r="K623" t="str">
            <v>정국철</v>
          </cell>
          <cell r="O623">
            <v>43542</v>
          </cell>
          <cell r="R623">
            <v>45961</v>
          </cell>
          <cell r="S623">
            <v>45961</v>
          </cell>
          <cell r="T623">
            <v>45961</v>
          </cell>
          <cell r="U623" t="str">
            <v>E91580054</v>
          </cell>
          <cell r="V623" t="str">
            <v>형틀목공</v>
          </cell>
          <cell r="W623" t="str">
            <v>중국</v>
          </cell>
        </row>
        <row r="624">
          <cell r="A624" t="str">
            <v>허룽강</v>
          </cell>
          <cell r="B624" t="str">
            <v>영등포구 대림로31가길6</v>
          </cell>
          <cell r="C624" t="str">
            <v>791125-5</v>
          </cell>
          <cell r="D624" t="str">
            <v>010-2565-5066</v>
          </cell>
          <cell r="E624">
            <v>210000</v>
          </cell>
          <cell r="F624" t="str">
            <v>남</v>
          </cell>
          <cell r="G624">
            <v>48</v>
          </cell>
          <cell r="H624" t="str">
            <v>외국인</v>
          </cell>
          <cell r="I624" t="str">
            <v>HE RONGGANG</v>
          </cell>
          <cell r="J624" t="str">
            <v>형틀목공</v>
          </cell>
          <cell r="K624" t="str">
            <v>정국철</v>
          </cell>
          <cell r="O624">
            <v>44055</v>
          </cell>
          <cell r="R624">
            <v>45961</v>
          </cell>
          <cell r="S624">
            <v>45961</v>
          </cell>
          <cell r="T624">
            <v>45961</v>
          </cell>
          <cell r="U624" t="str">
            <v>EK6547531</v>
          </cell>
          <cell r="V624" t="str">
            <v>형틀목공</v>
          </cell>
          <cell r="W624" t="str">
            <v>중국</v>
          </cell>
        </row>
        <row r="625">
          <cell r="A625" t="str">
            <v>당신국</v>
          </cell>
          <cell r="B625" t="str">
            <v>원주시 명륜동 835-13</v>
          </cell>
          <cell r="C625" t="str">
            <v>690804-5</v>
          </cell>
          <cell r="D625" t="str">
            <v>010-7569-8066</v>
          </cell>
          <cell r="E625">
            <v>210000</v>
          </cell>
          <cell r="F625" t="str">
            <v>남</v>
          </cell>
          <cell r="G625">
            <v>58</v>
          </cell>
          <cell r="H625" t="str">
            <v>외국인</v>
          </cell>
          <cell r="I625" t="str">
            <v>TAN XINGUO</v>
          </cell>
          <cell r="J625" t="str">
            <v>형틀목공</v>
          </cell>
          <cell r="K625" t="str">
            <v>정국철</v>
          </cell>
          <cell r="O625">
            <v>44631</v>
          </cell>
          <cell r="Q625" t="str">
            <v/>
          </cell>
          <cell r="R625">
            <v>45961</v>
          </cell>
          <cell r="S625">
            <v>45961</v>
          </cell>
          <cell r="T625">
            <v>45961</v>
          </cell>
          <cell r="U625" t="str">
            <v>EJ6092181</v>
          </cell>
          <cell r="V625" t="str">
            <v>형틀목공</v>
          </cell>
          <cell r="W625" t="str">
            <v>중국</v>
          </cell>
        </row>
        <row r="626">
          <cell r="A626" t="str">
            <v>극동성</v>
          </cell>
          <cell r="C626" t="str">
            <v>711125-5</v>
          </cell>
          <cell r="D626" t="str">
            <v>010-8878-2780</v>
          </cell>
          <cell r="E626">
            <v>210000</v>
          </cell>
          <cell r="F626" t="str">
            <v>남</v>
          </cell>
          <cell r="G626">
            <v>56</v>
          </cell>
          <cell r="H626" t="str">
            <v>외국인</v>
          </cell>
          <cell r="I626" t="str">
            <v>QU DONGSHENG</v>
          </cell>
          <cell r="J626" t="str">
            <v>형틀목공</v>
          </cell>
          <cell r="K626" t="str">
            <v>정국철</v>
          </cell>
          <cell r="O626" t="str">
            <v>없음</v>
          </cell>
          <cell r="R626">
            <v>45971</v>
          </cell>
          <cell r="S626">
            <v>45971</v>
          </cell>
          <cell r="T626">
            <v>45971</v>
          </cell>
          <cell r="U626" t="str">
            <v>E85300764</v>
          </cell>
          <cell r="V626" t="str">
            <v>형틀목공</v>
          </cell>
          <cell r="W626" t="str">
            <v>중국</v>
          </cell>
        </row>
        <row r="627">
          <cell r="A627" t="str">
            <v>대기성</v>
          </cell>
          <cell r="B627" t="str">
            <v>원주시 문막읍 왕건로99</v>
          </cell>
          <cell r="C627" t="str">
            <v>860901-5</v>
          </cell>
          <cell r="D627" t="str">
            <v>010-3389-7760</v>
          </cell>
          <cell r="E627">
            <v>210000</v>
          </cell>
          <cell r="F627" t="str">
            <v>남</v>
          </cell>
          <cell r="G627">
            <v>41</v>
          </cell>
          <cell r="H627" t="str">
            <v>외국인</v>
          </cell>
          <cell r="I627" t="str">
            <v>HOU YUNSHENG</v>
          </cell>
          <cell r="J627" t="str">
            <v>형틀목공</v>
          </cell>
          <cell r="K627" t="str">
            <v>정국철</v>
          </cell>
          <cell r="O627" t="str">
            <v>없음</v>
          </cell>
          <cell r="R627">
            <v>45971</v>
          </cell>
          <cell r="S627">
            <v>45971</v>
          </cell>
          <cell r="T627">
            <v>45971</v>
          </cell>
          <cell r="U627" t="str">
            <v>EE5509522</v>
          </cell>
          <cell r="V627" t="str">
            <v>형틀목공</v>
          </cell>
          <cell r="W627" t="str">
            <v>중국</v>
          </cell>
        </row>
        <row r="628">
          <cell r="A628" t="str">
            <v>김국</v>
          </cell>
          <cell r="B628" t="str">
            <v>서울 영등포구 대림로 314길 1-3</v>
          </cell>
          <cell r="C628" t="str">
            <v>810122-5</v>
          </cell>
          <cell r="D628" t="str">
            <v>010-5453-2558</v>
          </cell>
          <cell r="E628">
            <v>210000</v>
          </cell>
          <cell r="F628" t="str">
            <v>남</v>
          </cell>
          <cell r="G628">
            <v>46</v>
          </cell>
          <cell r="H628" t="str">
            <v>외국인</v>
          </cell>
          <cell r="I628" t="str">
            <v>JIN GUO</v>
          </cell>
          <cell r="J628" t="str">
            <v>형틀목공</v>
          </cell>
          <cell r="K628" t="str">
            <v>정국철</v>
          </cell>
          <cell r="O628">
            <v>42295</v>
          </cell>
          <cell r="R628">
            <v>45971</v>
          </cell>
          <cell r="S628">
            <v>45971</v>
          </cell>
          <cell r="T628">
            <v>45971</v>
          </cell>
          <cell r="U628" t="str">
            <v>E39195100</v>
          </cell>
          <cell r="V628" t="str">
            <v>형틀목공</v>
          </cell>
          <cell r="W628" t="str">
            <v>중국</v>
          </cell>
        </row>
        <row r="629">
          <cell r="A629" t="str">
            <v>박성룡</v>
          </cell>
          <cell r="B629" t="str">
            <v>구로구 마산로 11길 22-13</v>
          </cell>
          <cell r="C629" t="str">
            <v>760814-5</v>
          </cell>
          <cell r="D629" t="str">
            <v>010-4334-8454</v>
          </cell>
          <cell r="E629">
            <v>210000</v>
          </cell>
          <cell r="F629" t="str">
            <v>남</v>
          </cell>
          <cell r="G629">
            <v>51</v>
          </cell>
          <cell r="H629" t="str">
            <v>외국인</v>
          </cell>
          <cell r="I629" t="str">
            <v>PIAOCHENGLONG</v>
          </cell>
          <cell r="J629" t="str">
            <v>형틀목공</v>
          </cell>
          <cell r="K629" t="str">
            <v>정국철</v>
          </cell>
          <cell r="O629">
            <v>43756</v>
          </cell>
          <cell r="R629">
            <v>45971</v>
          </cell>
          <cell r="S629">
            <v>45971</v>
          </cell>
          <cell r="T629">
            <v>45971</v>
          </cell>
          <cell r="U629" t="str">
            <v>EP3193273</v>
          </cell>
          <cell r="V629" t="str">
            <v>형틀목공</v>
          </cell>
          <cell r="W629" t="str">
            <v>중국</v>
          </cell>
        </row>
        <row r="630">
          <cell r="A630" t="str">
            <v>위래복</v>
          </cell>
          <cell r="C630" t="str">
            <v>700525-5</v>
          </cell>
          <cell r="D630" t="str">
            <v>010-4594-7719</v>
          </cell>
          <cell r="E630">
            <v>210000</v>
          </cell>
          <cell r="F630" t="str">
            <v>남</v>
          </cell>
          <cell r="G630">
            <v>57</v>
          </cell>
          <cell r="H630" t="str">
            <v>외국인</v>
          </cell>
          <cell r="I630" t="str">
            <v>WEI LAIFU</v>
          </cell>
          <cell r="J630" t="str">
            <v>형틀목공</v>
          </cell>
          <cell r="K630" t="str">
            <v>정국철</v>
          </cell>
          <cell r="O630">
            <v>44610</v>
          </cell>
          <cell r="R630">
            <v>45971</v>
          </cell>
          <cell r="S630">
            <v>45971</v>
          </cell>
          <cell r="T630">
            <v>45971</v>
          </cell>
          <cell r="U630" t="str">
            <v>EG2375756</v>
          </cell>
          <cell r="V630" t="str">
            <v>형틀목공</v>
          </cell>
          <cell r="W630" t="str">
            <v>중국</v>
          </cell>
        </row>
        <row r="631">
          <cell r="A631" t="str">
            <v>우류군</v>
          </cell>
          <cell r="B631" t="str">
            <v>원주시 문막읍 왕건로</v>
          </cell>
          <cell r="C631" t="str">
            <v>820411-5</v>
          </cell>
          <cell r="D631" t="str">
            <v>010-8059-8211</v>
          </cell>
          <cell r="E631">
            <v>210000</v>
          </cell>
          <cell r="F631" t="str">
            <v>남</v>
          </cell>
          <cell r="G631">
            <v>45</v>
          </cell>
          <cell r="H631" t="str">
            <v>외국인</v>
          </cell>
          <cell r="I631" t="str">
            <v>YU LIUJUN</v>
          </cell>
          <cell r="J631" t="str">
            <v>형틀목공</v>
          </cell>
          <cell r="K631" t="str">
            <v>정국철</v>
          </cell>
          <cell r="O631">
            <v>43819</v>
          </cell>
          <cell r="R631">
            <v>45985</v>
          </cell>
          <cell r="S631">
            <v>45985</v>
          </cell>
          <cell r="T631">
            <v>45985</v>
          </cell>
          <cell r="U631" t="str">
            <v>E90007722</v>
          </cell>
          <cell r="V631" t="str">
            <v>형틀목공</v>
          </cell>
          <cell r="W631" t="str">
            <v>중국</v>
          </cell>
        </row>
        <row r="632">
          <cell r="A632" t="str">
            <v>이야광</v>
          </cell>
          <cell r="C632" t="str">
            <v>900922-5</v>
          </cell>
          <cell r="D632" t="str">
            <v>010-4685-4886</v>
          </cell>
          <cell r="E632">
            <v>210000</v>
          </cell>
          <cell r="F632" t="str">
            <v>남</v>
          </cell>
          <cell r="G632">
            <v>37</v>
          </cell>
          <cell r="H632" t="str">
            <v>외국인</v>
          </cell>
          <cell r="I632" t="str">
            <v>LI YAGUANG</v>
          </cell>
          <cell r="J632" t="str">
            <v>형틀목공</v>
          </cell>
          <cell r="K632" t="str">
            <v>정국철</v>
          </cell>
          <cell r="O632">
            <v>43796</v>
          </cell>
          <cell r="R632">
            <v>45987</v>
          </cell>
          <cell r="S632">
            <v>45987</v>
          </cell>
          <cell r="T632">
            <v>45987</v>
          </cell>
          <cell r="U632" t="str">
            <v>E03163900</v>
          </cell>
          <cell r="V632" t="str">
            <v>형틀목공</v>
          </cell>
          <cell r="W632" t="str">
            <v>중국</v>
          </cell>
        </row>
        <row r="633">
          <cell r="A633" t="str">
            <v>장신우</v>
          </cell>
          <cell r="B633" t="str">
            <v>원주시 명륜동 838</v>
          </cell>
          <cell r="C633" t="str">
            <v>780414-5</v>
          </cell>
          <cell r="D633" t="str">
            <v>010-4897-5777</v>
          </cell>
          <cell r="E633">
            <v>210000</v>
          </cell>
          <cell r="F633" t="str">
            <v>남</v>
          </cell>
          <cell r="G633">
            <v>49</v>
          </cell>
          <cell r="H633" t="str">
            <v>외국인</v>
          </cell>
          <cell r="I633" t="str">
            <v>ZHANG XINYU</v>
          </cell>
          <cell r="J633" t="str">
            <v>형틀목공</v>
          </cell>
          <cell r="K633" t="str">
            <v>정국철</v>
          </cell>
          <cell r="O633">
            <v>42905</v>
          </cell>
          <cell r="R633">
            <v>45990</v>
          </cell>
          <cell r="S633">
            <v>45990</v>
          </cell>
          <cell r="T633">
            <v>45990</v>
          </cell>
          <cell r="U633" t="str">
            <v>EH9335919</v>
          </cell>
          <cell r="V633" t="str">
            <v>형틀목공</v>
          </cell>
          <cell r="W633" t="str">
            <v>중국</v>
          </cell>
        </row>
        <row r="634">
          <cell r="A634" t="str">
            <v>우용</v>
          </cell>
          <cell r="B634" t="str">
            <v>원주시 명륜동 838</v>
          </cell>
          <cell r="C634" t="str">
            <v>840615-5</v>
          </cell>
          <cell r="D634" t="str">
            <v>010-8054-4395</v>
          </cell>
          <cell r="E634">
            <v>210000</v>
          </cell>
          <cell r="F634" t="str">
            <v>남</v>
          </cell>
          <cell r="G634">
            <v>43</v>
          </cell>
          <cell r="H634" t="str">
            <v>외국인</v>
          </cell>
          <cell r="I634" t="str">
            <v>NIU YONG</v>
          </cell>
          <cell r="J634" t="str">
            <v>형틀목공</v>
          </cell>
          <cell r="K634" t="str">
            <v>정국철</v>
          </cell>
          <cell r="O634">
            <v>42803</v>
          </cell>
          <cell r="R634">
            <v>45990</v>
          </cell>
          <cell r="S634">
            <v>45990</v>
          </cell>
          <cell r="T634">
            <v>45990</v>
          </cell>
          <cell r="U634" t="str">
            <v>EN1287499</v>
          </cell>
          <cell r="V634" t="str">
            <v>형틀목공</v>
          </cell>
          <cell r="W634" t="str">
            <v>중국</v>
          </cell>
        </row>
        <row r="635">
          <cell r="A635" t="str">
            <v>장춘양</v>
          </cell>
          <cell r="B635" t="str">
            <v>원주시 명륜동 838</v>
          </cell>
          <cell r="C635" t="str">
            <v>891012-5</v>
          </cell>
          <cell r="D635" t="str">
            <v>010-5888-6288</v>
          </cell>
          <cell r="E635">
            <v>210000</v>
          </cell>
          <cell r="F635" t="str">
            <v>남</v>
          </cell>
          <cell r="G635">
            <v>38</v>
          </cell>
          <cell r="H635" t="str">
            <v>외국인</v>
          </cell>
          <cell r="I635" t="str">
            <v>ZHANG CHUNYANG</v>
          </cell>
          <cell r="J635" t="str">
            <v>형틀목공</v>
          </cell>
          <cell r="K635" t="str">
            <v>정국철</v>
          </cell>
          <cell r="O635">
            <v>41438</v>
          </cell>
          <cell r="R635">
            <v>45990</v>
          </cell>
          <cell r="S635">
            <v>45990</v>
          </cell>
          <cell r="T635">
            <v>45990</v>
          </cell>
          <cell r="U635" t="str">
            <v>EJ6446720</v>
          </cell>
          <cell r="V635" t="str">
            <v>형틀목공</v>
          </cell>
          <cell r="W635" t="str">
            <v>중국</v>
          </cell>
        </row>
        <row r="636">
          <cell r="A636" t="str">
            <v>방경양</v>
          </cell>
          <cell r="B636" t="str">
            <v>원주시 명륜동 838</v>
          </cell>
          <cell r="C636" t="str">
            <v>860329-5</v>
          </cell>
          <cell r="D636" t="str">
            <v>010-5922-2622</v>
          </cell>
          <cell r="E636">
            <v>210000</v>
          </cell>
          <cell r="F636" t="str">
            <v>남</v>
          </cell>
          <cell r="G636">
            <v>41</v>
          </cell>
          <cell r="H636" t="str">
            <v>외국인</v>
          </cell>
          <cell r="I636" t="str">
            <v>FANG JINGYANG</v>
          </cell>
          <cell r="J636" t="str">
            <v>형틀목공</v>
          </cell>
          <cell r="K636" t="str">
            <v>정국철</v>
          </cell>
          <cell r="O636">
            <v>43628</v>
          </cell>
          <cell r="R636">
            <v>45990</v>
          </cell>
          <cell r="S636">
            <v>45990</v>
          </cell>
          <cell r="T636">
            <v>45990</v>
          </cell>
          <cell r="U636" t="str">
            <v>EJ7425469</v>
          </cell>
          <cell r="V636" t="str">
            <v>형틀목공</v>
          </cell>
          <cell r="W636" t="str">
            <v>중국</v>
          </cell>
        </row>
        <row r="637">
          <cell r="A637" t="str">
            <v>양빈</v>
          </cell>
          <cell r="B637" t="str">
            <v>원주시 명륜동 838</v>
          </cell>
          <cell r="C637" t="str">
            <v>850604-5</v>
          </cell>
          <cell r="D637" t="str">
            <v>010-6869-2666</v>
          </cell>
          <cell r="E637">
            <v>210000</v>
          </cell>
          <cell r="F637" t="str">
            <v>남</v>
          </cell>
          <cell r="G637">
            <v>42</v>
          </cell>
          <cell r="H637" t="str">
            <v>외국인</v>
          </cell>
          <cell r="I637" t="str">
            <v>YANG BIN</v>
          </cell>
          <cell r="J637" t="str">
            <v>형틀목공</v>
          </cell>
          <cell r="K637" t="str">
            <v>정국철</v>
          </cell>
          <cell r="O637">
            <v>42534</v>
          </cell>
          <cell r="R637">
            <v>45990</v>
          </cell>
          <cell r="S637">
            <v>45990</v>
          </cell>
          <cell r="T637">
            <v>45990</v>
          </cell>
          <cell r="U637" t="str">
            <v>EJ6269807</v>
          </cell>
          <cell r="V637" t="str">
            <v>형틀목공</v>
          </cell>
          <cell r="W637" t="str">
            <v>중국</v>
          </cell>
        </row>
        <row r="638">
          <cell r="A638" t="str">
            <v>반훙</v>
          </cell>
          <cell r="B638" t="str">
            <v>원주시 문막읍 왕건로99</v>
          </cell>
          <cell r="C638" t="str">
            <v>930125-5</v>
          </cell>
          <cell r="D638" t="str">
            <v>010-7564-9133</v>
          </cell>
          <cell r="E638">
            <v>210000</v>
          </cell>
          <cell r="F638" t="str">
            <v>남</v>
          </cell>
          <cell r="G638">
            <v>34</v>
          </cell>
          <cell r="H638" t="str">
            <v>외국인</v>
          </cell>
          <cell r="I638" t="str">
            <v>NGUYEN VAN HUNG</v>
          </cell>
          <cell r="J638" t="str">
            <v>형틀목공</v>
          </cell>
          <cell r="K638" t="str">
            <v>정국철</v>
          </cell>
          <cell r="O638">
            <v>43378</v>
          </cell>
          <cell r="R638">
            <v>45992</v>
          </cell>
          <cell r="S638">
            <v>45992</v>
          </cell>
          <cell r="T638">
            <v>45992</v>
          </cell>
          <cell r="U638" t="str">
            <v>Q00423154</v>
          </cell>
          <cell r="V638" t="str">
            <v>형틀목공</v>
          </cell>
          <cell r="W638" t="str">
            <v>베트남</v>
          </cell>
        </row>
        <row r="639">
          <cell r="A639" t="str">
            <v>득안</v>
          </cell>
          <cell r="B639" t="str">
            <v>원주시 문막읍 왕건로 99</v>
          </cell>
          <cell r="C639" t="str">
            <v>840102-5</v>
          </cell>
          <cell r="D639" t="str">
            <v>010-7618-6688</v>
          </cell>
          <cell r="E639">
            <v>210000</v>
          </cell>
          <cell r="F639" t="str">
            <v>남</v>
          </cell>
          <cell r="G639">
            <v>43</v>
          </cell>
          <cell r="H639" t="str">
            <v>외국인</v>
          </cell>
          <cell r="I639" t="str">
            <v>NGUYEN DUC ANH</v>
          </cell>
          <cell r="J639" t="str">
            <v>형틀목공</v>
          </cell>
          <cell r="K639" t="str">
            <v>정국철</v>
          </cell>
          <cell r="O639">
            <v>44049</v>
          </cell>
          <cell r="R639">
            <v>45992</v>
          </cell>
          <cell r="S639">
            <v>45992</v>
          </cell>
          <cell r="T639">
            <v>45992</v>
          </cell>
          <cell r="U639" t="str">
            <v>C1896470</v>
          </cell>
          <cell r="V639" t="str">
            <v>형틀목공</v>
          </cell>
          <cell r="W639" t="str">
            <v>베트남</v>
          </cell>
        </row>
        <row r="640">
          <cell r="A640" t="str">
            <v>반만</v>
          </cell>
          <cell r="B640" t="str">
            <v>원주시 문막읍 왕건로 99</v>
          </cell>
          <cell r="C640" t="str">
            <v>910414-5</v>
          </cell>
          <cell r="D640" t="str">
            <v>010-9744-0752</v>
          </cell>
          <cell r="E640">
            <v>210000</v>
          </cell>
          <cell r="F640" t="str">
            <v>남</v>
          </cell>
          <cell r="G640">
            <v>36</v>
          </cell>
          <cell r="H640" t="str">
            <v>외국인</v>
          </cell>
          <cell r="I640" t="str">
            <v>NGUYEN VAN MANH</v>
          </cell>
          <cell r="J640" t="str">
            <v>형틀목공</v>
          </cell>
          <cell r="K640" t="str">
            <v>정국철</v>
          </cell>
          <cell r="O640">
            <v>43994</v>
          </cell>
          <cell r="R640">
            <v>45992</v>
          </cell>
          <cell r="S640">
            <v>45992</v>
          </cell>
          <cell r="T640">
            <v>45992</v>
          </cell>
          <cell r="U640" t="str">
            <v>N2124752</v>
          </cell>
          <cell r="V640" t="str">
            <v>형틀목공</v>
          </cell>
          <cell r="W640" t="str">
            <v>베트남</v>
          </cell>
        </row>
        <row r="641">
          <cell r="A641" t="str">
            <v>전쭝탄</v>
          </cell>
          <cell r="B641" t="str">
            <v>원주시 문막읍 왕건로 99</v>
          </cell>
          <cell r="C641" t="str">
            <v>010906-5</v>
          </cell>
          <cell r="D641" t="str">
            <v>010-9843-3099</v>
          </cell>
          <cell r="E641">
            <v>210000</v>
          </cell>
          <cell r="F641" t="str">
            <v>남</v>
          </cell>
          <cell r="G641">
            <v>26</v>
          </cell>
          <cell r="H641" t="str">
            <v>외국인</v>
          </cell>
          <cell r="I641" t="str">
            <v>TRAN TRUNG THANH</v>
          </cell>
          <cell r="J641" t="str">
            <v>형틀목공</v>
          </cell>
          <cell r="K641" t="str">
            <v>정국철</v>
          </cell>
          <cell r="O641">
            <v>44262</v>
          </cell>
          <cell r="R641">
            <v>45992</v>
          </cell>
          <cell r="S641">
            <v>45992</v>
          </cell>
          <cell r="T641">
            <v>45992</v>
          </cell>
          <cell r="U641" t="str">
            <v>C9229575</v>
          </cell>
          <cell r="V641" t="str">
            <v>형틀목공</v>
          </cell>
          <cell r="W641" t="str">
            <v>베트남</v>
          </cell>
        </row>
        <row r="642">
          <cell r="A642" t="str">
            <v>반남</v>
          </cell>
          <cell r="B642" t="str">
            <v>원주시 단구동 1539-1</v>
          </cell>
          <cell r="C642" t="str">
            <v>020501-5</v>
          </cell>
          <cell r="D642" t="str">
            <v>010-3969-9850</v>
          </cell>
          <cell r="E642">
            <v>210000</v>
          </cell>
          <cell r="F642" t="str">
            <v>남</v>
          </cell>
          <cell r="G642">
            <v>25</v>
          </cell>
          <cell r="H642" t="str">
            <v>외국인</v>
          </cell>
          <cell r="I642" t="str">
            <v>BUI VAN NAM</v>
          </cell>
          <cell r="J642" t="str">
            <v>형틀목공</v>
          </cell>
          <cell r="K642" t="str">
            <v>정국철</v>
          </cell>
          <cell r="O642">
            <v>44003</v>
          </cell>
          <cell r="R642">
            <v>45992</v>
          </cell>
          <cell r="S642">
            <v>45992</v>
          </cell>
          <cell r="T642">
            <v>45992</v>
          </cell>
          <cell r="U642" t="str">
            <v>E01594614</v>
          </cell>
          <cell r="V642" t="str">
            <v>형틀목공</v>
          </cell>
          <cell r="W642" t="str">
            <v>베트남</v>
          </cell>
        </row>
        <row r="643">
          <cell r="A643" t="str">
            <v>반안</v>
          </cell>
          <cell r="B643" t="str">
            <v>원주시 문막읍 왕건로 99</v>
          </cell>
          <cell r="C643" t="str">
            <v>980526-5</v>
          </cell>
          <cell r="D643" t="str">
            <v>010-7663-3227</v>
          </cell>
          <cell r="E643">
            <v>210000</v>
          </cell>
          <cell r="F643" t="str">
            <v>남</v>
          </cell>
          <cell r="G643">
            <v>29</v>
          </cell>
          <cell r="H643" t="str">
            <v>외국인</v>
          </cell>
          <cell r="I643" t="str">
            <v>NGUYEN VAN AN</v>
          </cell>
          <cell r="J643" t="str">
            <v>형틀목공</v>
          </cell>
          <cell r="K643" t="str">
            <v>정국철</v>
          </cell>
          <cell r="O643">
            <v>43850</v>
          </cell>
          <cell r="R643">
            <v>45992</v>
          </cell>
          <cell r="S643">
            <v>45992</v>
          </cell>
          <cell r="T643">
            <v>45992</v>
          </cell>
          <cell r="U643" t="str">
            <v>P02297049</v>
          </cell>
          <cell r="V643" t="str">
            <v>형틀목공</v>
          </cell>
          <cell r="W643" t="str">
            <v>베트남</v>
          </cell>
        </row>
        <row r="644">
          <cell r="A644" t="str">
            <v>위황</v>
          </cell>
          <cell r="B644" t="str">
            <v>원주시 단구동 1539-1</v>
          </cell>
          <cell r="C644" t="str">
            <v>950101-5</v>
          </cell>
          <cell r="D644" t="str">
            <v>010-2186-6669</v>
          </cell>
          <cell r="E644">
            <v>210000</v>
          </cell>
          <cell r="F644" t="str">
            <v>남</v>
          </cell>
          <cell r="G644">
            <v>32</v>
          </cell>
          <cell r="H644" t="str">
            <v>외국인</v>
          </cell>
          <cell r="I644" t="str">
            <v>NGUYEN DUY HOANG</v>
          </cell>
          <cell r="J644" t="str">
            <v>형틀목공</v>
          </cell>
          <cell r="K644" t="str">
            <v>정국철</v>
          </cell>
          <cell r="O644">
            <v>43430</v>
          </cell>
          <cell r="R644">
            <v>45992</v>
          </cell>
          <cell r="S644">
            <v>45992</v>
          </cell>
          <cell r="T644">
            <v>45992</v>
          </cell>
          <cell r="U644" t="str">
            <v>C4760963</v>
          </cell>
          <cell r="V644" t="str">
            <v>형틀목공</v>
          </cell>
          <cell r="W644" t="str">
            <v>베트남</v>
          </cell>
        </row>
        <row r="645">
          <cell r="A645" t="str">
            <v>원딘귀</v>
          </cell>
          <cell r="B645" t="str">
            <v>원주시 문막읍 왕건로 99</v>
          </cell>
          <cell r="C645" t="str">
            <v>880824-5</v>
          </cell>
          <cell r="D645" t="str">
            <v>010-2968-2868</v>
          </cell>
          <cell r="E645">
            <v>210000</v>
          </cell>
          <cell r="F645" t="str">
            <v>남</v>
          </cell>
          <cell r="G645">
            <v>39</v>
          </cell>
          <cell r="H645" t="str">
            <v>외국인</v>
          </cell>
          <cell r="I645" t="str">
            <v>NGUYEN DINH QUY</v>
          </cell>
          <cell r="J645" t="str">
            <v>형틀목공</v>
          </cell>
          <cell r="K645" t="str">
            <v>정국철</v>
          </cell>
          <cell r="O645">
            <v>43759</v>
          </cell>
          <cell r="R645">
            <v>45992</v>
          </cell>
          <cell r="S645">
            <v>45992</v>
          </cell>
          <cell r="T645">
            <v>45992</v>
          </cell>
          <cell r="U645" t="str">
            <v>C6790612</v>
          </cell>
          <cell r="V645" t="str">
            <v>형틀목공</v>
          </cell>
          <cell r="W645" t="str">
            <v>베트남</v>
          </cell>
        </row>
        <row r="646">
          <cell r="A646" t="str">
            <v>이남일</v>
          </cell>
          <cell r="B646" t="str">
            <v>구로구 구로동로 5길 17-25</v>
          </cell>
          <cell r="C646" t="str">
            <v>880522-5</v>
          </cell>
          <cell r="D646" t="str">
            <v>010-2225-5024</v>
          </cell>
          <cell r="F646" t="str">
            <v>남</v>
          </cell>
          <cell r="G646">
            <v>39</v>
          </cell>
          <cell r="H646" t="str">
            <v>외국인</v>
          </cell>
          <cell r="I646" t="str">
            <v>LI NANRI</v>
          </cell>
          <cell r="J646" t="str">
            <v>형틀목공</v>
          </cell>
          <cell r="K646" t="str">
            <v>정국철</v>
          </cell>
          <cell r="O646">
            <v>45256</v>
          </cell>
          <cell r="Q646" t="str">
            <v/>
          </cell>
          <cell r="R646">
            <v>46056</v>
          </cell>
          <cell r="S646">
            <v>46056</v>
          </cell>
          <cell r="T646">
            <v>46056</v>
          </cell>
          <cell r="U646" t="str">
            <v>EJ6847125</v>
          </cell>
          <cell r="V646" t="str">
            <v>형틀목공</v>
          </cell>
          <cell r="W646" t="str">
            <v>중국</v>
          </cell>
        </row>
        <row r="647">
          <cell r="A647" t="str">
            <v>허철수</v>
          </cell>
          <cell r="F647" t="str">
            <v/>
          </cell>
          <cell r="G647" t="str">
            <v/>
          </cell>
          <cell r="H647" t="str">
            <v/>
          </cell>
          <cell r="Q647" t="str">
            <v/>
          </cell>
        </row>
        <row r="648">
          <cell r="A648" t="str">
            <v>류가명</v>
          </cell>
          <cell r="F648" t="str">
            <v/>
          </cell>
          <cell r="G648" t="str">
            <v/>
          </cell>
          <cell r="H648" t="str">
            <v/>
          </cell>
          <cell r="Q648" t="str">
            <v/>
          </cell>
        </row>
        <row r="649">
          <cell r="A649" t="str">
            <v>류정성</v>
          </cell>
          <cell r="F649" t="str">
            <v/>
          </cell>
          <cell r="G649" t="str">
            <v/>
          </cell>
          <cell r="H649" t="str">
            <v/>
          </cell>
          <cell r="Q649" t="str">
            <v/>
          </cell>
        </row>
        <row r="650">
          <cell r="F650" t="str">
            <v/>
          </cell>
          <cell r="G650" t="str">
            <v/>
          </cell>
          <cell r="H650" t="str">
            <v/>
          </cell>
          <cell r="Q650" t="str">
            <v/>
          </cell>
        </row>
        <row r="651">
          <cell r="F651" t="str">
            <v/>
          </cell>
          <cell r="G651" t="str">
            <v/>
          </cell>
          <cell r="H651" t="str">
            <v/>
          </cell>
          <cell r="Q651" t="str">
            <v/>
          </cell>
        </row>
        <row r="652">
          <cell r="F652" t="str">
            <v/>
          </cell>
          <cell r="G652" t="str">
            <v/>
          </cell>
          <cell r="H652" t="str">
            <v/>
          </cell>
          <cell r="Q652" t="str">
            <v/>
          </cell>
        </row>
        <row r="653">
          <cell r="F653" t="str">
            <v/>
          </cell>
          <cell r="G653" t="str">
            <v/>
          </cell>
          <cell r="H653" t="str">
            <v/>
          </cell>
        </row>
        <row r="654">
          <cell r="F654" t="str">
            <v/>
          </cell>
          <cell r="G654" t="str">
            <v/>
          </cell>
          <cell r="H654" t="str">
            <v/>
          </cell>
        </row>
        <row r="655">
          <cell r="F655" t="str">
            <v/>
          </cell>
          <cell r="G655" t="str">
            <v/>
          </cell>
          <cell r="H655" t="str">
            <v/>
          </cell>
          <cell r="Q655" t="str">
            <v/>
          </cell>
        </row>
        <row r="656">
          <cell r="F656" t="str">
            <v/>
          </cell>
          <cell r="G656" t="str">
            <v/>
          </cell>
          <cell r="H656" t="str">
            <v/>
          </cell>
          <cell r="Q656" t="str">
            <v/>
          </cell>
        </row>
        <row r="657">
          <cell r="F657" t="str">
            <v/>
          </cell>
          <cell r="G657" t="str">
            <v/>
          </cell>
          <cell r="H657" t="str">
            <v/>
          </cell>
          <cell r="Q657" t="str">
            <v/>
          </cell>
        </row>
        <row r="658">
          <cell r="F658" t="str">
            <v/>
          </cell>
          <cell r="G658" t="str">
            <v/>
          </cell>
          <cell r="H658" t="str">
            <v/>
          </cell>
          <cell r="Q658" t="str">
            <v/>
          </cell>
        </row>
        <row r="659">
          <cell r="F659" t="str">
            <v/>
          </cell>
          <cell r="G659" t="str">
            <v/>
          </cell>
          <cell r="H659" t="str">
            <v/>
          </cell>
          <cell r="Q659" t="str">
            <v/>
          </cell>
        </row>
        <row r="660">
          <cell r="F660" t="str">
            <v/>
          </cell>
          <cell r="G660" t="str">
            <v/>
          </cell>
          <cell r="H660" t="str">
            <v/>
          </cell>
          <cell r="Q660" t="str">
            <v/>
          </cell>
        </row>
        <row r="661">
          <cell r="A661" t="str">
            <v>견출</v>
          </cell>
          <cell r="F661" t="str">
            <v/>
          </cell>
          <cell r="G661" t="str">
            <v/>
          </cell>
          <cell r="H661" t="str">
            <v/>
          </cell>
          <cell r="Q661" t="str">
            <v/>
          </cell>
        </row>
        <row r="662">
          <cell r="A662" t="str">
            <v>한상윤</v>
          </cell>
          <cell r="B662" t="str">
            <v>인천광역시 서구 봉오재3로14,304동 1501호</v>
          </cell>
          <cell r="C662" t="str">
            <v>711210-1474617</v>
          </cell>
          <cell r="D662" t="str">
            <v>010-3423-3381</v>
          </cell>
          <cell r="E662">
            <v>230000</v>
          </cell>
          <cell r="F662" t="str">
            <v>남</v>
          </cell>
          <cell r="G662">
            <v>56</v>
          </cell>
          <cell r="H662" t="str">
            <v>-</v>
          </cell>
          <cell r="J662" t="str">
            <v>견출</v>
          </cell>
          <cell r="K662" t="str">
            <v>한상윤</v>
          </cell>
          <cell r="L662" t="str">
            <v>642602-01-302912</v>
          </cell>
          <cell r="M662" t="str">
            <v>국민은행</v>
          </cell>
          <cell r="N662" t="str">
            <v>한상윤</v>
          </cell>
          <cell r="O662">
            <v>41656</v>
          </cell>
          <cell r="S662">
            <v>45925</v>
          </cell>
          <cell r="T662">
            <v>45925</v>
          </cell>
          <cell r="V662" t="str">
            <v>견출공</v>
          </cell>
        </row>
        <row r="663">
          <cell r="A663" t="str">
            <v>김성근</v>
          </cell>
          <cell r="B663" t="str">
            <v>인천광역시 남동구 서창방산로158번길15-2,202</v>
          </cell>
          <cell r="C663" t="str">
            <v>601103-1241927</v>
          </cell>
          <cell r="D663" t="str">
            <v>010-9407-6776</v>
          </cell>
          <cell r="E663">
            <v>230000</v>
          </cell>
          <cell r="F663" t="str">
            <v>남</v>
          </cell>
          <cell r="G663">
            <v>67</v>
          </cell>
          <cell r="H663" t="str">
            <v>-</v>
          </cell>
          <cell r="J663" t="str">
            <v>견출</v>
          </cell>
          <cell r="K663" t="str">
            <v>한상윤</v>
          </cell>
          <cell r="L663" t="str">
            <v>110-0091-09549</v>
          </cell>
          <cell r="M663" t="str">
            <v>우체국</v>
          </cell>
          <cell r="N663" t="str">
            <v>김성근</v>
          </cell>
          <cell r="O663">
            <v>41296</v>
          </cell>
          <cell r="S663">
            <v>45925</v>
          </cell>
          <cell r="T663">
            <v>45925</v>
          </cell>
          <cell r="V663" t="str">
            <v>견출공</v>
          </cell>
        </row>
        <row r="664">
          <cell r="F664" t="str">
            <v/>
          </cell>
          <cell r="G664" t="str">
            <v/>
          </cell>
          <cell r="H664" t="str">
            <v/>
          </cell>
          <cell r="Q664" t="str">
            <v/>
          </cell>
        </row>
        <row r="665">
          <cell r="A665" t="str">
            <v>채선미</v>
          </cell>
          <cell r="B665" t="str">
            <v>인천광역시 서구 봉오재3로14,305동1005호</v>
          </cell>
          <cell r="C665" t="str">
            <v>731220-2473562</v>
          </cell>
          <cell r="D665" t="str">
            <v>010-2807-3381</v>
          </cell>
          <cell r="E665">
            <v>230000</v>
          </cell>
          <cell r="F665" t="str">
            <v>여</v>
          </cell>
          <cell r="G665">
            <v>54</v>
          </cell>
          <cell r="H665" t="str">
            <v>-</v>
          </cell>
          <cell r="J665" t="str">
            <v>견출</v>
          </cell>
          <cell r="K665" t="str">
            <v>한상윤</v>
          </cell>
          <cell r="L665" t="str">
            <v>1002-955-667717</v>
          </cell>
          <cell r="M665" t="str">
            <v>우리은행</v>
          </cell>
          <cell r="N665" t="str">
            <v>채선미</v>
          </cell>
          <cell r="S665">
            <v>45926</v>
          </cell>
          <cell r="T665">
            <v>45926</v>
          </cell>
          <cell r="V665" t="str">
            <v>견출공</v>
          </cell>
        </row>
        <row r="666">
          <cell r="A666" t="str">
            <v>한채희</v>
          </cell>
          <cell r="B666" t="str">
            <v>인천시 서구 가정로387,133동704호,신현동</v>
          </cell>
          <cell r="C666" t="str">
            <v>050604-4159617</v>
          </cell>
          <cell r="E666">
            <v>230000</v>
          </cell>
          <cell r="F666" t="str">
            <v>여</v>
          </cell>
          <cell r="G666">
            <v>22</v>
          </cell>
          <cell r="H666" t="str">
            <v>-</v>
          </cell>
          <cell r="J666" t="str">
            <v>견출</v>
          </cell>
          <cell r="K666" t="str">
            <v>한상윤</v>
          </cell>
          <cell r="L666" t="str">
            <v>228801-04-488643</v>
          </cell>
          <cell r="M666" t="str">
            <v>국민은행</v>
          </cell>
          <cell r="N666" t="str">
            <v>한채희</v>
          </cell>
          <cell r="S666">
            <v>45926</v>
          </cell>
          <cell r="T666">
            <v>45926</v>
          </cell>
          <cell r="V666" t="str">
            <v>견출공</v>
          </cell>
        </row>
        <row r="667">
          <cell r="A667" t="str">
            <v>한광희</v>
          </cell>
          <cell r="B667" t="str">
            <v>인천광역시 서구 가정로387,133동704호</v>
          </cell>
          <cell r="C667" t="str">
            <v>031001-3159612</v>
          </cell>
          <cell r="D667" t="str">
            <v>010-4822-2462</v>
          </cell>
          <cell r="E667">
            <v>230000</v>
          </cell>
          <cell r="F667" t="str">
            <v>남</v>
          </cell>
          <cell r="G667">
            <v>24</v>
          </cell>
          <cell r="H667" t="str">
            <v>-</v>
          </cell>
          <cell r="J667" t="str">
            <v>견출</v>
          </cell>
          <cell r="K667" t="str">
            <v>한상윤</v>
          </cell>
          <cell r="L667" t="str">
            <v>228801-04-488656</v>
          </cell>
          <cell r="M667" t="str">
            <v>국민은행</v>
          </cell>
          <cell r="N667" t="str">
            <v>한광희</v>
          </cell>
          <cell r="O667">
            <v>45098</v>
          </cell>
          <cell r="S667">
            <v>45926</v>
          </cell>
          <cell r="T667">
            <v>45926</v>
          </cell>
          <cell r="V667" t="str">
            <v>견출공</v>
          </cell>
        </row>
        <row r="668">
          <cell r="A668" t="str">
            <v>조정화</v>
          </cell>
          <cell r="B668" t="str">
            <v>광명시 광명로 877, 한진APT 110동 2021호</v>
          </cell>
          <cell r="C668" t="str">
            <v>830618-2531614</v>
          </cell>
          <cell r="E668">
            <v>230000</v>
          </cell>
          <cell r="F668" t="str">
            <v>여</v>
          </cell>
          <cell r="G668">
            <v>44</v>
          </cell>
          <cell r="H668" t="str">
            <v>-</v>
          </cell>
          <cell r="J668" t="str">
            <v>견출</v>
          </cell>
          <cell r="K668" t="str">
            <v>한상윤</v>
          </cell>
          <cell r="L668" t="str">
            <v>104-02-271946</v>
          </cell>
          <cell r="M668" t="str">
            <v>농협은행</v>
          </cell>
          <cell r="N668" t="str">
            <v>조정화</v>
          </cell>
          <cell r="O668">
            <v>43258</v>
          </cell>
          <cell r="Q668" t="str">
            <v/>
          </cell>
          <cell r="S668">
            <v>45926</v>
          </cell>
          <cell r="T668">
            <v>45926</v>
          </cell>
          <cell r="V668" t="str">
            <v>견출공</v>
          </cell>
        </row>
        <row r="669">
          <cell r="A669" t="str">
            <v>금정화</v>
          </cell>
          <cell r="B669" t="str">
            <v>원주시 호저면 감박산길5,가동 503호</v>
          </cell>
          <cell r="C669" t="str">
            <v>770621-1268611</v>
          </cell>
          <cell r="D669" t="str">
            <v>010-7735-1857</v>
          </cell>
          <cell r="E669">
            <v>230000</v>
          </cell>
          <cell r="F669" t="str">
            <v>남</v>
          </cell>
          <cell r="G669">
            <v>50</v>
          </cell>
          <cell r="H669" t="str">
            <v>-</v>
          </cell>
          <cell r="J669" t="str">
            <v>견출</v>
          </cell>
          <cell r="K669" t="str">
            <v>한상윤</v>
          </cell>
          <cell r="L669" t="str">
            <v>351-0408-5405-33</v>
          </cell>
          <cell r="M669" t="str">
            <v>농협은행</v>
          </cell>
          <cell r="N669" t="str">
            <v>금정화</v>
          </cell>
          <cell r="O669">
            <v>42222</v>
          </cell>
          <cell r="Q669" t="str">
            <v/>
          </cell>
          <cell r="S669">
            <v>45930</v>
          </cell>
          <cell r="T669">
            <v>45930</v>
          </cell>
          <cell r="V669" t="str">
            <v>견출공</v>
          </cell>
        </row>
        <row r="670">
          <cell r="A670" t="str">
            <v>장세남</v>
          </cell>
          <cell r="B670" t="str">
            <v>수원시 팔달구 세지로270번길6,D동402호</v>
          </cell>
          <cell r="C670" t="str">
            <v>811112-5760595</v>
          </cell>
          <cell r="D670" t="str">
            <v>010-7585-7611</v>
          </cell>
          <cell r="E670">
            <v>230000</v>
          </cell>
          <cell r="F670" t="str">
            <v>남</v>
          </cell>
          <cell r="G670">
            <v>46</v>
          </cell>
          <cell r="H670" t="str">
            <v>외국인</v>
          </cell>
          <cell r="I670" t="str">
            <v>ZHANG SHINAN</v>
          </cell>
          <cell r="J670" t="str">
            <v>견출</v>
          </cell>
          <cell r="K670" t="str">
            <v>한상윤</v>
          </cell>
          <cell r="L670" t="str">
            <v>1002-660-972758</v>
          </cell>
          <cell r="M670" t="str">
            <v>우리은행</v>
          </cell>
          <cell r="N670" t="str">
            <v>ZHANG SHINAN</v>
          </cell>
          <cell r="O670">
            <v>41079</v>
          </cell>
          <cell r="Q670" t="str">
            <v/>
          </cell>
          <cell r="S670">
            <v>45930</v>
          </cell>
          <cell r="T670">
            <v>45930</v>
          </cell>
          <cell r="V670" t="str">
            <v>견출공</v>
          </cell>
        </row>
        <row r="671">
          <cell r="A671" t="str">
            <v>후병택</v>
          </cell>
          <cell r="B671" t="str">
            <v>경기도 부천시 원미구 부일로607번길6,202호</v>
          </cell>
          <cell r="C671" t="str">
            <v>700104-5142497</v>
          </cell>
          <cell r="D671" t="str">
            <v>010-9048-6887</v>
          </cell>
          <cell r="E671">
            <v>230000</v>
          </cell>
          <cell r="F671" t="str">
            <v>남</v>
          </cell>
          <cell r="G671">
            <v>57</v>
          </cell>
          <cell r="H671" t="str">
            <v>외국인</v>
          </cell>
          <cell r="I671" t="str">
            <v>HOU BINGZE</v>
          </cell>
          <cell r="J671" t="str">
            <v>견출</v>
          </cell>
          <cell r="K671" t="str">
            <v>한상윤</v>
          </cell>
          <cell r="L671" t="str">
            <v>351-0958-3601-63</v>
          </cell>
          <cell r="M671" t="str">
            <v>농협은행</v>
          </cell>
          <cell r="N671" t="str">
            <v>HOU BINGZE</v>
          </cell>
          <cell r="O671">
            <v>41423</v>
          </cell>
          <cell r="P671" t="str">
            <v>영주F5</v>
          </cell>
          <cell r="Q671">
            <v>47671</v>
          </cell>
          <cell r="S671">
            <v>45947</v>
          </cell>
          <cell r="T671">
            <v>45947</v>
          </cell>
          <cell r="V671" t="str">
            <v>견출공</v>
          </cell>
          <cell r="W671" t="str">
            <v>중국</v>
          </cell>
        </row>
        <row r="672">
          <cell r="A672" t="str">
            <v>노영근</v>
          </cell>
          <cell r="B672" t="str">
            <v>인천광역시 부평구 길주남로6번길 15.204호(메르시에)</v>
          </cell>
          <cell r="C672" t="str">
            <v>630220-1163418</v>
          </cell>
          <cell r="D672" t="str">
            <v>010-7668-2453</v>
          </cell>
          <cell r="E672">
            <v>230000</v>
          </cell>
          <cell r="F672" t="str">
            <v>남</v>
          </cell>
          <cell r="G672">
            <v>64</v>
          </cell>
          <cell r="H672" t="str">
            <v>-</v>
          </cell>
          <cell r="J672" t="str">
            <v>견출</v>
          </cell>
          <cell r="K672" t="str">
            <v>한상윤</v>
          </cell>
          <cell r="L672" t="str">
            <v>356-0505-0077-13</v>
          </cell>
          <cell r="M672" t="str">
            <v>농협은행</v>
          </cell>
          <cell r="N672" t="str">
            <v>노영근</v>
          </cell>
          <cell r="O672">
            <v>41326</v>
          </cell>
          <cell r="R672">
            <v>45950</v>
          </cell>
          <cell r="S672">
            <v>45950</v>
          </cell>
          <cell r="T672">
            <v>45950</v>
          </cell>
          <cell r="V672" t="str">
            <v>견출공</v>
          </cell>
        </row>
        <row r="673">
          <cell r="A673" t="str">
            <v>노수진</v>
          </cell>
          <cell r="B673" t="str">
            <v>인천광역시 부평구 길주남로6번길 15,204호(메르시에)</v>
          </cell>
          <cell r="C673" t="str">
            <v>890910-2154921</v>
          </cell>
          <cell r="D673" t="str">
            <v>010-9132-2673</v>
          </cell>
          <cell r="E673">
            <v>230000</v>
          </cell>
          <cell r="F673" t="str">
            <v>여</v>
          </cell>
          <cell r="G673">
            <v>38</v>
          </cell>
          <cell r="H673" t="str">
            <v>-</v>
          </cell>
          <cell r="J673" t="str">
            <v>견출</v>
          </cell>
          <cell r="K673" t="str">
            <v>한상윤</v>
          </cell>
          <cell r="L673" t="str">
            <v>659402-01-471704</v>
          </cell>
          <cell r="M673" t="str">
            <v>국민은행</v>
          </cell>
          <cell r="N673" t="str">
            <v>노수진</v>
          </cell>
          <cell r="O673">
            <v>42377</v>
          </cell>
          <cell r="R673">
            <v>45950</v>
          </cell>
          <cell r="S673">
            <v>45950</v>
          </cell>
          <cell r="T673">
            <v>45950</v>
          </cell>
          <cell r="V673" t="str">
            <v>견출공</v>
          </cell>
        </row>
        <row r="674">
          <cell r="A674" t="str">
            <v>김영자</v>
          </cell>
          <cell r="B674" t="str">
            <v>인천광역시 부평구 길주남로6번길 15,204호(메르시에)</v>
          </cell>
          <cell r="C674" t="str">
            <v>670903-2155416</v>
          </cell>
          <cell r="D674" t="str">
            <v>010-5571-2453</v>
          </cell>
          <cell r="E674">
            <v>230000</v>
          </cell>
          <cell r="F674" t="str">
            <v>여</v>
          </cell>
          <cell r="G674">
            <v>60</v>
          </cell>
          <cell r="H674" t="str">
            <v>-</v>
          </cell>
          <cell r="J674" t="str">
            <v>견출</v>
          </cell>
          <cell r="K674" t="str">
            <v>한상윤</v>
          </cell>
          <cell r="L674" t="str">
            <v>356-0536-9833-53</v>
          </cell>
          <cell r="M674" t="str">
            <v>농협은행</v>
          </cell>
          <cell r="N674" t="str">
            <v>김영자</v>
          </cell>
          <cell r="O674">
            <v>41326</v>
          </cell>
          <cell r="Q674" t="str">
            <v/>
          </cell>
          <cell r="R674">
            <v>45950</v>
          </cell>
          <cell r="S674">
            <v>45950</v>
          </cell>
          <cell r="T674">
            <v>45950</v>
          </cell>
          <cell r="V674" t="str">
            <v>견출공</v>
          </cell>
        </row>
        <row r="675">
          <cell r="A675" t="str">
            <v>이경수</v>
          </cell>
          <cell r="B675" t="str">
            <v>대전 동구 산내로 1314-32</v>
          </cell>
          <cell r="C675" t="str">
            <v>820718-1775711</v>
          </cell>
          <cell r="D675" t="str">
            <v>010-4663-1078</v>
          </cell>
          <cell r="F675" t="str">
            <v>남</v>
          </cell>
          <cell r="G675">
            <v>45</v>
          </cell>
          <cell r="H675" t="str">
            <v>-</v>
          </cell>
          <cell r="J675" t="str">
            <v>견출</v>
          </cell>
          <cell r="K675" t="str">
            <v>한상윤</v>
          </cell>
          <cell r="L675" t="str">
            <v>653-910556-06207</v>
          </cell>
          <cell r="M675" t="str">
            <v>하나은행</v>
          </cell>
          <cell r="N675" t="str">
            <v>이경수</v>
          </cell>
          <cell r="O675">
            <v>41752</v>
          </cell>
          <cell r="Q675" t="str">
            <v/>
          </cell>
          <cell r="R675">
            <v>46197</v>
          </cell>
          <cell r="S675">
            <v>46197</v>
          </cell>
          <cell r="T675">
            <v>46197</v>
          </cell>
          <cell r="V675" t="str">
            <v>견출공</v>
          </cell>
        </row>
        <row r="676">
          <cell r="A676" t="str">
            <v>이경윤</v>
          </cell>
          <cell r="B676" t="str">
            <v>충남 금산 남원면 마장2길 2</v>
          </cell>
          <cell r="C676" t="str">
            <v>830118-1775716</v>
          </cell>
          <cell r="D676" t="str">
            <v>010-7244-3716</v>
          </cell>
          <cell r="F676" t="str">
            <v>남</v>
          </cell>
          <cell r="G676">
            <v>44</v>
          </cell>
          <cell r="H676" t="str">
            <v>-</v>
          </cell>
          <cell r="J676" t="str">
            <v>견출</v>
          </cell>
          <cell r="K676" t="str">
            <v>한상윤</v>
          </cell>
          <cell r="L676" t="str">
            <v>653-910556-07907</v>
          </cell>
          <cell r="M676" t="str">
            <v>하나은행</v>
          </cell>
          <cell r="N676" t="str">
            <v>이경윤</v>
          </cell>
          <cell r="O676">
            <v>42818</v>
          </cell>
          <cell r="Q676" t="str">
            <v/>
          </cell>
          <cell r="R676">
            <v>46197</v>
          </cell>
          <cell r="S676">
            <v>46197</v>
          </cell>
          <cell r="T676">
            <v>46197</v>
          </cell>
          <cell r="V676" t="str">
            <v>견출공</v>
          </cell>
        </row>
        <row r="677">
          <cell r="F677" t="str">
            <v/>
          </cell>
          <cell r="G677" t="str">
            <v/>
          </cell>
          <cell r="H677" t="str">
            <v/>
          </cell>
          <cell r="Q677" t="str">
            <v/>
          </cell>
        </row>
        <row r="678">
          <cell r="F678" t="str">
            <v/>
          </cell>
          <cell r="G678" t="str">
            <v/>
          </cell>
          <cell r="H678" t="str">
            <v/>
          </cell>
          <cell r="Q678" t="str">
            <v/>
          </cell>
        </row>
        <row r="679">
          <cell r="F679" t="str">
            <v/>
          </cell>
          <cell r="G679" t="str">
            <v/>
          </cell>
          <cell r="H679" t="str">
            <v/>
          </cell>
          <cell r="Q679" t="str">
            <v/>
          </cell>
        </row>
        <row r="680">
          <cell r="F680" t="str">
            <v/>
          </cell>
          <cell r="G680" t="str">
            <v/>
          </cell>
          <cell r="H680" t="str">
            <v/>
          </cell>
          <cell r="Q680" t="str">
            <v/>
          </cell>
        </row>
        <row r="681">
          <cell r="A681" t="str">
            <v>김장길</v>
          </cell>
          <cell r="B681" t="str">
            <v>인천 미추홀구 경원대로 780번길22,108-2004</v>
          </cell>
          <cell r="C681" t="str">
            <v>820608-5101598</v>
          </cell>
          <cell r="D681" t="str">
            <v>010-4809-2988</v>
          </cell>
          <cell r="E681">
            <v>300000</v>
          </cell>
          <cell r="F681" t="str">
            <v>남</v>
          </cell>
          <cell r="G681">
            <v>45</v>
          </cell>
          <cell r="H681" t="str">
            <v>외국인</v>
          </cell>
          <cell r="I681" t="str">
            <v>JIN CHANGJI</v>
          </cell>
          <cell r="J681" t="str">
            <v>수지미장</v>
          </cell>
          <cell r="K681" t="str">
            <v>한상윤</v>
          </cell>
          <cell r="O681">
            <v>42797</v>
          </cell>
          <cell r="P681" t="str">
            <v>영주F5</v>
          </cell>
          <cell r="Q681">
            <v>49009</v>
          </cell>
          <cell r="R681">
            <v>46150</v>
          </cell>
          <cell r="S681">
            <v>46150</v>
          </cell>
          <cell r="T681">
            <v>46150</v>
          </cell>
          <cell r="V681" t="str">
            <v>미장공</v>
          </cell>
          <cell r="W681" t="str">
            <v>중국</v>
          </cell>
        </row>
        <row r="682">
          <cell r="A682" t="str">
            <v>임필주</v>
          </cell>
          <cell r="B682" t="str">
            <v>경기도 시흥시 봉우제로23. 3-6 ,302호</v>
          </cell>
          <cell r="C682" t="str">
            <v>620228-5120193</v>
          </cell>
          <cell r="D682" t="str">
            <v>010-9767-0229</v>
          </cell>
          <cell r="E682">
            <v>230000</v>
          </cell>
          <cell r="F682" t="str">
            <v>남</v>
          </cell>
          <cell r="G682">
            <v>65</v>
          </cell>
          <cell r="H682" t="str">
            <v>외국인</v>
          </cell>
          <cell r="I682" t="str">
            <v>REN BIZHU</v>
          </cell>
          <cell r="J682" t="str">
            <v>할석</v>
          </cell>
          <cell r="K682" t="str">
            <v>한상윤</v>
          </cell>
          <cell r="L682" t="str">
            <v>1010-2735-4600</v>
          </cell>
          <cell r="M682" t="str">
            <v>수협은행</v>
          </cell>
          <cell r="N682" t="str">
            <v>(주)우민이엔지</v>
          </cell>
          <cell r="O682">
            <v>43986</v>
          </cell>
          <cell r="P682" t="str">
            <v>재외동포F-4</v>
          </cell>
          <cell r="Q682">
            <v>46828</v>
          </cell>
          <cell r="R682">
            <v>45978</v>
          </cell>
          <cell r="S682">
            <v>45978</v>
          </cell>
          <cell r="T682">
            <v>45978</v>
          </cell>
          <cell r="V682" t="str">
            <v>할석</v>
          </cell>
          <cell r="W682" t="str">
            <v>중국</v>
          </cell>
        </row>
        <row r="683">
          <cell r="A683" t="str">
            <v>강수희</v>
          </cell>
          <cell r="C683" t="str">
            <v>710729-6</v>
          </cell>
          <cell r="D683" t="str">
            <v>010-4442-6746</v>
          </cell>
          <cell r="E683">
            <v>230000</v>
          </cell>
          <cell r="F683" t="str">
            <v>여</v>
          </cell>
          <cell r="G683">
            <v>56</v>
          </cell>
          <cell r="H683" t="str">
            <v>외국인</v>
          </cell>
          <cell r="I683" t="str">
            <v>JIANG XIULI</v>
          </cell>
          <cell r="J683" t="str">
            <v>견출</v>
          </cell>
          <cell r="K683" t="str">
            <v>한상윤</v>
          </cell>
          <cell r="O683">
            <v>43679</v>
          </cell>
          <cell r="Q683" t="str">
            <v/>
          </cell>
          <cell r="S683">
            <v>45930</v>
          </cell>
          <cell r="T683">
            <v>45930</v>
          </cell>
          <cell r="U683" t="str">
            <v>EK6556257</v>
          </cell>
          <cell r="V683" t="str">
            <v>견출공</v>
          </cell>
        </row>
        <row r="684">
          <cell r="A684" t="str">
            <v>국수호</v>
          </cell>
          <cell r="C684" t="str">
            <v>690809-5</v>
          </cell>
          <cell r="D684" t="str">
            <v>010-9810-1888</v>
          </cell>
          <cell r="E684">
            <v>230000</v>
          </cell>
          <cell r="F684" t="str">
            <v>남</v>
          </cell>
          <cell r="G684">
            <v>58</v>
          </cell>
          <cell r="H684" t="str">
            <v>외국인</v>
          </cell>
          <cell r="I684" t="str">
            <v>JU XIULU</v>
          </cell>
          <cell r="J684" t="str">
            <v>견출</v>
          </cell>
          <cell r="K684" t="str">
            <v>한상윤</v>
          </cell>
          <cell r="O684">
            <v>43678</v>
          </cell>
          <cell r="Q684" t="str">
            <v/>
          </cell>
          <cell r="S684">
            <v>45930</v>
          </cell>
          <cell r="T684">
            <v>45930</v>
          </cell>
          <cell r="U684" t="str">
            <v>EK5158520</v>
          </cell>
          <cell r="V684" t="str">
            <v>견출공</v>
          </cell>
        </row>
        <row r="685">
          <cell r="F685" t="str">
            <v/>
          </cell>
          <cell r="G685" t="str">
            <v/>
          </cell>
          <cell r="H685" t="str">
            <v/>
          </cell>
          <cell r="Q685" t="str">
            <v/>
          </cell>
        </row>
        <row r="686">
          <cell r="F686" t="str">
            <v/>
          </cell>
          <cell r="G686" t="str">
            <v/>
          </cell>
          <cell r="H686" t="str">
            <v/>
          </cell>
          <cell r="Q686" t="str">
            <v/>
          </cell>
        </row>
        <row r="687">
          <cell r="F687" t="str">
            <v/>
          </cell>
          <cell r="G687" t="str">
            <v/>
          </cell>
          <cell r="H687" t="str">
            <v/>
          </cell>
          <cell r="Q687" t="str">
            <v/>
          </cell>
        </row>
        <row r="688">
          <cell r="A688" t="str">
            <v>할석미장</v>
          </cell>
          <cell r="F688" t="str">
            <v/>
          </cell>
          <cell r="G688" t="str">
            <v/>
          </cell>
          <cell r="H688" t="str">
            <v/>
          </cell>
          <cell r="Q688" t="str">
            <v/>
          </cell>
        </row>
        <row r="689">
          <cell r="A689" t="str">
            <v>엄태화</v>
          </cell>
          <cell r="B689" t="str">
            <v>부천시 소사구 경인로484 68-1</v>
          </cell>
          <cell r="C689" t="str">
            <v>580803-5100699</v>
          </cell>
          <cell r="D689" t="str">
            <v>010-4374-8388</v>
          </cell>
          <cell r="E689">
            <v>230000</v>
          </cell>
          <cell r="F689" t="str">
            <v>남</v>
          </cell>
          <cell r="G689">
            <v>69</v>
          </cell>
          <cell r="H689" t="str">
            <v>외국인</v>
          </cell>
          <cell r="I689" t="str">
            <v>YAN TAIHUA</v>
          </cell>
          <cell r="J689" t="str">
            <v>할석</v>
          </cell>
          <cell r="K689" t="str">
            <v>한상윤</v>
          </cell>
          <cell r="L689" t="str">
            <v>177140-56-032982</v>
          </cell>
          <cell r="M689" t="str">
            <v>농협은행</v>
          </cell>
          <cell r="N689" t="str">
            <v>YAN TAIHUA</v>
          </cell>
          <cell r="O689">
            <v>41099</v>
          </cell>
          <cell r="P689" t="str">
            <v>재외동포F-4</v>
          </cell>
          <cell r="Q689">
            <v>46796</v>
          </cell>
          <cell r="R689">
            <v>45975</v>
          </cell>
          <cell r="S689">
            <v>45976</v>
          </cell>
          <cell r="T689">
            <v>45977</v>
          </cell>
          <cell r="V689" t="str">
            <v>할석</v>
          </cell>
          <cell r="W689" t="str">
            <v>중국</v>
          </cell>
        </row>
        <row r="690">
          <cell r="A690" t="str">
            <v>김진국할</v>
          </cell>
          <cell r="B690" t="str">
            <v>경기 시흥시 동서로 101-302</v>
          </cell>
          <cell r="C690" t="str">
            <v>590208-5820019</v>
          </cell>
          <cell r="D690" t="str">
            <v>010-9901-9550</v>
          </cell>
          <cell r="E690">
            <v>230000</v>
          </cell>
          <cell r="F690" t="str">
            <v>남</v>
          </cell>
          <cell r="G690">
            <v>68</v>
          </cell>
          <cell r="H690" t="str">
            <v>외국인</v>
          </cell>
          <cell r="I690" t="str">
            <v>JIN ZHENGUO</v>
          </cell>
          <cell r="J690" t="str">
            <v>할석</v>
          </cell>
          <cell r="K690" t="str">
            <v>한상윤</v>
          </cell>
          <cell r="L690" t="str">
            <v>352-1183-6808-93</v>
          </cell>
          <cell r="M690" t="str">
            <v>농협은행</v>
          </cell>
          <cell r="N690" t="str">
            <v>JIN ZHENGUO</v>
          </cell>
          <cell r="O690">
            <v>41137</v>
          </cell>
          <cell r="P690" t="str">
            <v>재외동포F-4</v>
          </cell>
          <cell r="Q690">
            <v>45325</v>
          </cell>
          <cell r="S690">
            <v>45982</v>
          </cell>
          <cell r="V690" t="str">
            <v>할석</v>
          </cell>
          <cell r="W690" t="str">
            <v>중국</v>
          </cell>
        </row>
        <row r="691">
          <cell r="A691" t="str">
            <v>김성철미</v>
          </cell>
          <cell r="B691" t="str">
            <v>경기 고양 일산서구 중앙로 1542,751</v>
          </cell>
          <cell r="C691" t="str">
            <v>540801-5101294</v>
          </cell>
          <cell r="D691" t="str">
            <v>010-8529-2197</v>
          </cell>
          <cell r="E691">
            <v>230000</v>
          </cell>
          <cell r="F691" t="str">
            <v>남</v>
          </cell>
          <cell r="G691">
            <v>73</v>
          </cell>
          <cell r="H691" t="str">
            <v>외국인</v>
          </cell>
          <cell r="I691" t="str">
            <v>JIN CHENG ZHE</v>
          </cell>
          <cell r="J691" t="str">
            <v>미장</v>
          </cell>
          <cell r="K691" t="str">
            <v>한상윤</v>
          </cell>
          <cell r="L691" t="str">
            <v>555-910077-11207</v>
          </cell>
          <cell r="M691" t="str">
            <v>하나은행</v>
          </cell>
          <cell r="N691" t="str">
            <v>JIN CHENGZHE</v>
          </cell>
          <cell r="O691">
            <v>42734</v>
          </cell>
          <cell r="P691" t="str">
            <v>재외동포F4</v>
          </cell>
          <cell r="Q691">
            <v>46619</v>
          </cell>
          <cell r="R691">
            <v>46174</v>
          </cell>
          <cell r="S691">
            <v>46174</v>
          </cell>
          <cell r="T691">
            <v>46174</v>
          </cell>
          <cell r="V691" t="str">
            <v>미장공</v>
          </cell>
          <cell r="W691" t="str">
            <v>중국</v>
          </cell>
        </row>
        <row r="692">
          <cell r="A692" t="str">
            <v>김창국</v>
          </cell>
          <cell r="B692" t="str">
            <v>인천 부평구 백범로422번길 31-5 104호</v>
          </cell>
          <cell r="C692" t="str">
            <v>580803-5140595</v>
          </cell>
          <cell r="D692" t="str">
            <v>010-2295-2788</v>
          </cell>
          <cell r="E692">
            <v>230000</v>
          </cell>
          <cell r="F692" t="str">
            <v>남</v>
          </cell>
          <cell r="G692">
            <v>69</v>
          </cell>
          <cell r="H692" t="str">
            <v>외국인</v>
          </cell>
          <cell r="I692" t="str">
            <v>JIN CHANGGUO</v>
          </cell>
          <cell r="J692" t="str">
            <v>할석</v>
          </cell>
          <cell r="K692" t="str">
            <v>한상윤</v>
          </cell>
          <cell r="O692">
            <v>45481</v>
          </cell>
          <cell r="P692" t="str">
            <v>재외동포F-4</v>
          </cell>
          <cell r="Q692">
            <v>46179</v>
          </cell>
          <cell r="R692">
            <v>46080</v>
          </cell>
          <cell r="S692">
            <v>46080</v>
          </cell>
          <cell r="T692">
            <v>46080</v>
          </cell>
          <cell r="V692" t="str">
            <v>할석공</v>
          </cell>
          <cell r="W692" t="str">
            <v>중국</v>
          </cell>
        </row>
        <row r="693">
          <cell r="A693" t="str">
            <v>라영수</v>
          </cell>
          <cell r="B693" t="str">
            <v>경북 경산 와촌면 대동공단길 40</v>
          </cell>
          <cell r="C693" t="str">
            <v>731107-5180174</v>
          </cell>
          <cell r="D693" t="str">
            <v>010-3924-8805</v>
          </cell>
          <cell r="E693">
            <v>230000</v>
          </cell>
          <cell r="F693" t="str">
            <v>남</v>
          </cell>
          <cell r="G693">
            <v>54</v>
          </cell>
          <cell r="H693" t="str">
            <v>외국인</v>
          </cell>
          <cell r="I693" t="str">
            <v>LUO YINGZHU</v>
          </cell>
          <cell r="J693" t="str">
            <v>할석</v>
          </cell>
          <cell r="K693" t="str">
            <v>한상윤</v>
          </cell>
          <cell r="O693">
            <v>46029</v>
          </cell>
          <cell r="P693" t="str">
            <v>재외동포F4</v>
          </cell>
          <cell r="Q693">
            <v>46350</v>
          </cell>
          <cell r="R693">
            <v>46083</v>
          </cell>
          <cell r="S693">
            <v>46083</v>
          </cell>
          <cell r="T693">
            <v>46083</v>
          </cell>
          <cell r="V693" t="str">
            <v>할석공</v>
          </cell>
          <cell r="W693" t="str">
            <v>중국</v>
          </cell>
        </row>
        <row r="694">
          <cell r="A694" t="str">
            <v>최두성</v>
          </cell>
          <cell r="B694" t="str">
            <v>서울 영등포구 기마산로88 301</v>
          </cell>
          <cell r="C694" t="str">
            <v>630622-5100013</v>
          </cell>
          <cell r="D694" t="str">
            <v>010-6281-9555</v>
          </cell>
          <cell r="E694">
            <v>230000</v>
          </cell>
          <cell r="F694" t="str">
            <v>남</v>
          </cell>
          <cell r="G694">
            <v>64</v>
          </cell>
          <cell r="H694" t="str">
            <v>외국인</v>
          </cell>
          <cell r="I694" t="str">
            <v>CUI DOUXING</v>
          </cell>
          <cell r="J694" t="str">
            <v>미장</v>
          </cell>
          <cell r="K694" t="str">
            <v>한상윤</v>
          </cell>
          <cell r="O694">
            <v>42674</v>
          </cell>
          <cell r="P694" t="str">
            <v>영주F5</v>
          </cell>
          <cell r="Q694">
            <v>48071</v>
          </cell>
          <cell r="R694">
            <v>46083</v>
          </cell>
          <cell r="S694">
            <v>46083</v>
          </cell>
          <cell r="T694">
            <v>46083</v>
          </cell>
          <cell r="V694" t="str">
            <v>할석공</v>
          </cell>
          <cell r="W694" t="str">
            <v>중국</v>
          </cell>
        </row>
        <row r="695">
          <cell r="A695" t="str">
            <v>방송철</v>
          </cell>
          <cell r="B695" t="str">
            <v>경기 오산 궐리사로29번길 13, 101-1305</v>
          </cell>
          <cell r="C695" t="str">
            <v>651006-5860019</v>
          </cell>
          <cell r="D695" t="str">
            <v>010-8992-9188</v>
          </cell>
          <cell r="E695">
            <v>230000</v>
          </cell>
          <cell r="F695" t="str">
            <v>남</v>
          </cell>
          <cell r="G695">
            <v>62</v>
          </cell>
          <cell r="H695" t="str">
            <v>외국인</v>
          </cell>
          <cell r="I695" t="str">
            <v>FANG SONGZHE</v>
          </cell>
          <cell r="J695" t="str">
            <v>할석</v>
          </cell>
          <cell r="K695" t="str">
            <v>한상윤</v>
          </cell>
          <cell r="O695">
            <v>41934</v>
          </cell>
          <cell r="P695" t="str">
            <v>방문취업H2</v>
          </cell>
          <cell r="Q695">
            <v>47042</v>
          </cell>
          <cell r="R695">
            <v>46086</v>
          </cell>
          <cell r="S695">
            <v>46086</v>
          </cell>
          <cell r="T695">
            <v>46086</v>
          </cell>
          <cell r="V695" t="str">
            <v>할석공</v>
          </cell>
          <cell r="W695" t="str">
            <v>중국</v>
          </cell>
        </row>
        <row r="696">
          <cell r="A696" t="str">
            <v>최창림</v>
          </cell>
          <cell r="B696" t="str">
            <v>경기 안산시 반원구 신길중앙로7길4, 201</v>
          </cell>
          <cell r="C696" t="str">
            <v>631223-5180197</v>
          </cell>
          <cell r="D696" t="str">
            <v>010-8076-3015</v>
          </cell>
          <cell r="E696">
            <v>230000</v>
          </cell>
          <cell r="F696" t="str">
            <v>남</v>
          </cell>
          <cell r="G696">
            <v>64</v>
          </cell>
          <cell r="H696" t="str">
            <v>외국인</v>
          </cell>
          <cell r="I696" t="str">
            <v>CUICHANGLIN</v>
          </cell>
          <cell r="J696" t="str">
            <v>할석</v>
          </cell>
          <cell r="K696" t="str">
            <v>한상윤</v>
          </cell>
          <cell r="L696" t="str">
            <v>100-029-192960</v>
          </cell>
          <cell r="M696" t="str">
            <v>신한은행</v>
          </cell>
          <cell r="N696" t="str">
            <v>최창림</v>
          </cell>
          <cell r="O696">
            <v>45400</v>
          </cell>
          <cell r="P696" t="str">
            <v>방문취업H2</v>
          </cell>
          <cell r="Q696">
            <v>46175</v>
          </cell>
          <cell r="R696">
            <v>46107</v>
          </cell>
          <cell r="S696">
            <v>46107</v>
          </cell>
          <cell r="T696">
            <v>46107</v>
          </cell>
          <cell r="V696" t="str">
            <v>할석공</v>
          </cell>
          <cell r="W696" t="str">
            <v>중국</v>
          </cell>
        </row>
        <row r="697">
          <cell r="A697" t="str">
            <v>장원일</v>
          </cell>
          <cell r="B697" t="str">
            <v>경기 부천 소사구 부광로41길 37-1</v>
          </cell>
          <cell r="C697" t="str">
            <v>770322-5142006</v>
          </cell>
          <cell r="D697" t="str">
            <v>010-6887-2388</v>
          </cell>
          <cell r="E697">
            <v>230000</v>
          </cell>
          <cell r="F697" t="str">
            <v>남</v>
          </cell>
          <cell r="G697">
            <v>50</v>
          </cell>
          <cell r="H697" t="str">
            <v>외국인</v>
          </cell>
          <cell r="I697" t="str">
            <v>ZHANGYUANRI</v>
          </cell>
          <cell r="J697" t="str">
            <v>할석</v>
          </cell>
          <cell r="K697" t="str">
            <v>한상윤</v>
          </cell>
          <cell r="O697">
            <v>45905</v>
          </cell>
          <cell r="P697" t="str">
            <v>방문취업H2</v>
          </cell>
          <cell r="Q697">
            <v>46216</v>
          </cell>
          <cell r="R697">
            <v>46111</v>
          </cell>
          <cell r="S697">
            <v>46111</v>
          </cell>
          <cell r="T697">
            <v>46111</v>
          </cell>
          <cell r="V697" t="str">
            <v>할석공</v>
          </cell>
          <cell r="W697" t="str">
            <v>중국</v>
          </cell>
        </row>
        <row r="698">
          <cell r="A698" t="str">
            <v>이준석</v>
          </cell>
          <cell r="B698" t="str">
            <v>강원 원주시 향교길62</v>
          </cell>
          <cell r="C698" t="str">
            <v>670106-1267618</v>
          </cell>
          <cell r="D698" t="str">
            <v>010-4433-8258</v>
          </cell>
          <cell r="E698">
            <v>230000</v>
          </cell>
          <cell r="F698" t="str">
            <v>남</v>
          </cell>
          <cell r="G698">
            <v>60</v>
          </cell>
          <cell r="H698" t="str">
            <v>-</v>
          </cell>
          <cell r="J698" t="str">
            <v>미장</v>
          </cell>
          <cell r="K698" t="str">
            <v>한상윤</v>
          </cell>
          <cell r="O698">
            <v>41674</v>
          </cell>
          <cell r="R698">
            <v>46132</v>
          </cell>
          <cell r="S698">
            <v>46132</v>
          </cell>
          <cell r="T698">
            <v>46132</v>
          </cell>
          <cell r="V698" t="str">
            <v>할석공</v>
          </cell>
        </row>
        <row r="699">
          <cell r="A699" t="str">
            <v>조홍기</v>
          </cell>
          <cell r="B699" t="str">
            <v>경기 수원 권선구 정조로443번길65-1, 202호</v>
          </cell>
          <cell r="C699" t="str">
            <v>631007-5760016</v>
          </cell>
          <cell r="D699" t="str">
            <v>010-6557-6616</v>
          </cell>
          <cell r="E699">
            <v>230000</v>
          </cell>
          <cell r="F699" t="str">
            <v>남</v>
          </cell>
          <cell r="G699">
            <v>64</v>
          </cell>
          <cell r="H699" t="str">
            <v>외국인</v>
          </cell>
          <cell r="I699" t="str">
            <v>ZHAO HONGJI</v>
          </cell>
          <cell r="J699" t="str">
            <v>할석</v>
          </cell>
          <cell r="K699" t="str">
            <v>한상윤</v>
          </cell>
          <cell r="O699">
            <v>42788</v>
          </cell>
          <cell r="P699" t="str">
            <v>재외동포F4</v>
          </cell>
          <cell r="Q699">
            <v>47256</v>
          </cell>
          <cell r="R699">
            <v>46132</v>
          </cell>
          <cell r="S699">
            <v>46132</v>
          </cell>
          <cell r="T699">
            <v>46132</v>
          </cell>
          <cell r="V699" t="str">
            <v>할석공</v>
          </cell>
          <cell r="W699" t="str">
            <v>중국</v>
          </cell>
        </row>
        <row r="700">
          <cell r="A700" t="str">
            <v>한천일</v>
          </cell>
          <cell r="B700" t="str">
            <v>경기 고양 덕양구 도래을로86,307-1802</v>
          </cell>
          <cell r="C700" t="str">
            <v>650422-5820016</v>
          </cell>
          <cell r="D700" t="str">
            <v>010-8569-2606</v>
          </cell>
          <cell r="E700">
            <v>230000</v>
          </cell>
          <cell r="F700" t="str">
            <v>남</v>
          </cell>
          <cell r="G700">
            <v>62</v>
          </cell>
          <cell r="H700" t="str">
            <v>외국인</v>
          </cell>
          <cell r="I700" t="str">
            <v>HAN QIANRI</v>
          </cell>
          <cell r="J700" t="str">
            <v>할석</v>
          </cell>
          <cell r="K700" t="str">
            <v>한상윤</v>
          </cell>
          <cell r="O700">
            <v>41723</v>
          </cell>
          <cell r="P700" t="str">
            <v>결혼이민F6</v>
          </cell>
          <cell r="Q700">
            <v>46920</v>
          </cell>
          <cell r="R700">
            <v>46132</v>
          </cell>
          <cell r="S700">
            <v>46132</v>
          </cell>
          <cell r="T700">
            <v>46132</v>
          </cell>
          <cell r="V700" t="str">
            <v>할석공</v>
          </cell>
          <cell r="W700" t="str">
            <v>중국</v>
          </cell>
        </row>
        <row r="701">
          <cell r="A701" t="str">
            <v>장원일</v>
          </cell>
          <cell r="B701" t="str">
            <v>경기 부천 소사구 부광로41길 37-1</v>
          </cell>
          <cell r="C701" t="str">
            <v>770322-5142006</v>
          </cell>
          <cell r="D701" t="str">
            <v>010-6887-2388</v>
          </cell>
          <cell r="E701">
            <v>230000</v>
          </cell>
          <cell r="F701" t="str">
            <v>남</v>
          </cell>
          <cell r="G701">
            <v>50</v>
          </cell>
          <cell r="H701" t="str">
            <v>외국인</v>
          </cell>
          <cell r="I701" t="str">
            <v>ZHANGYUANRI</v>
          </cell>
          <cell r="J701" t="str">
            <v>할석</v>
          </cell>
          <cell r="K701" t="str">
            <v>한상윤</v>
          </cell>
          <cell r="O701">
            <v>45905</v>
          </cell>
          <cell r="P701" t="str">
            <v>방문취업H2</v>
          </cell>
          <cell r="Q701">
            <v>46216</v>
          </cell>
          <cell r="R701">
            <v>46111</v>
          </cell>
          <cell r="S701">
            <v>46111</v>
          </cell>
          <cell r="T701">
            <v>46111</v>
          </cell>
          <cell r="V701" t="str">
            <v>할석공</v>
          </cell>
          <cell r="W701" t="str">
            <v>중국</v>
          </cell>
        </row>
        <row r="702">
          <cell r="A702" t="str">
            <v>김경철</v>
          </cell>
          <cell r="B702" t="str">
            <v>서울 금천구 시흥대로 126길 22-18, 302호</v>
          </cell>
          <cell r="C702" t="str">
            <v>800304-5920026</v>
          </cell>
          <cell r="E702">
            <v>230000</v>
          </cell>
          <cell r="F702" t="str">
            <v>남</v>
          </cell>
          <cell r="G702">
            <v>47</v>
          </cell>
          <cell r="H702" t="str">
            <v>외국인</v>
          </cell>
          <cell r="I702" t="str">
            <v>JIN JINGZHE</v>
          </cell>
          <cell r="J702" t="str">
            <v>할석</v>
          </cell>
          <cell r="K702" t="str">
            <v>한상윤</v>
          </cell>
          <cell r="O702">
            <v>46139</v>
          </cell>
          <cell r="P702" t="str">
            <v>재외동포F4</v>
          </cell>
          <cell r="Q702">
            <v>46471</v>
          </cell>
          <cell r="R702">
            <v>46114</v>
          </cell>
          <cell r="S702">
            <v>46114</v>
          </cell>
          <cell r="T702">
            <v>46114</v>
          </cell>
          <cell r="U702" t="str">
            <v>ER0892821</v>
          </cell>
          <cell r="V702" t="str">
            <v>할석공</v>
          </cell>
          <cell r="W702" t="str">
            <v>중국</v>
          </cell>
        </row>
        <row r="703">
          <cell r="A703" t="str">
            <v>장정학</v>
          </cell>
          <cell r="B703" t="str">
            <v>서울 영등포구 산길로47길 6-1</v>
          </cell>
          <cell r="C703" t="str">
            <v>560304-5920010</v>
          </cell>
          <cell r="D703" t="str">
            <v>010-8322-0262</v>
          </cell>
          <cell r="E703">
            <v>230000</v>
          </cell>
          <cell r="F703" t="str">
            <v>남</v>
          </cell>
          <cell r="G703">
            <v>71</v>
          </cell>
          <cell r="H703" t="str">
            <v>외국인</v>
          </cell>
          <cell r="I703" t="str">
            <v>ZHANG ZHENGHE</v>
          </cell>
          <cell r="J703" t="str">
            <v>할석</v>
          </cell>
          <cell r="K703" t="str">
            <v>한상윤</v>
          </cell>
          <cell r="O703">
            <v>42740</v>
          </cell>
          <cell r="P703" t="str">
            <v>재외동포F4</v>
          </cell>
          <cell r="Q703">
            <v>46478</v>
          </cell>
          <cell r="R703">
            <v>46227</v>
          </cell>
          <cell r="S703">
            <v>46227</v>
          </cell>
          <cell r="T703">
            <v>46227</v>
          </cell>
          <cell r="V703" t="str">
            <v>할석공</v>
          </cell>
          <cell r="W703" t="str">
            <v>중국</v>
          </cell>
        </row>
        <row r="704">
          <cell r="A704" t="str">
            <v>성춘기</v>
          </cell>
          <cell r="B704" t="str">
            <v>경기 부천시 심곡로67번길 30-11,1호</v>
          </cell>
          <cell r="C704" t="str">
            <v>570908-5780190</v>
          </cell>
          <cell r="D704" t="str">
            <v>010-5586-9882</v>
          </cell>
          <cell r="E704">
            <v>230000</v>
          </cell>
          <cell r="F704" t="str">
            <v>남</v>
          </cell>
          <cell r="G704">
            <v>70</v>
          </cell>
          <cell r="H704" t="str">
            <v>외국인</v>
          </cell>
          <cell r="I704" t="str">
            <v>CHENG CHUNJI</v>
          </cell>
          <cell r="J704" t="str">
            <v>할석</v>
          </cell>
          <cell r="K704" t="str">
            <v>한상윤</v>
          </cell>
          <cell r="O704">
            <v>41815</v>
          </cell>
          <cell r="P704" t="str">
            <v>재외동포F4</v>
          </cell>
          <cell r="Q704">
            <v>47237</v>
          </cell>
          <cell r="R704">
            <v>46233</v>
          </cell>
          <cell r="S704">
            <v>46233</v>
          </cell>
          <cell r="T704">
            <v>46233</v>
          </cell>
          <cell r="V704" t="str">
            <v>할석공</v>
          </cell>
        </row>
        <row r="705">
          <cell r="F705" t="str">
            <v/>
          </cell>
          <cell r="G705" t="str">
            <v/>
          </cell>
          <cell r="H705" t="str">
            <v/>
          </cell>
          <cell r="Q705" t="str">
            <v/>
          </cell>
        </row>
        <row r="706">
          <cell r="F706" t="str">
            <v/>
          </cell>
          <cell r="G706" t="str">
            <v/>
          </cell>
          <cell r="H706" t="str">
            <v/>
          </cell>
          <cell r="Q706" t="str">
            <v/>
          </cell>
        </row>
        <row r="707">
          <cell r="A707" t="str">
            <v>왕커랑</v>
          </cell>
          <cell r="C707" t="str">
            <v>630302-5</v>
          </cell>
          <cell r="E707">
            <v>230000</v>
          </cell>
          <cell r="F707" t="str">
            <v>남</v>
          </cell>
          <cell r="G707">
            <v>64</v>
          </cell>
          <cell r="H707" t="str">
            <v>외국인</v>
          </cell>
          <cell r="I707" t="str">
            <v>WANG KERANG</v>
          </cell>
          <cell r="J707" t="str">
            <v>미장</v>
          </cell>
          <cell r="K707" t="str">
            <v>한상윤</v>
          </cell>
          <cell r="L707" t="str">
            <v>1010-2735-4600</v>
          </cell>
          <cell r="M707" t="str">
            <v>수협은행</v>
          </cell>
          <cell r="N707" t="str">
            <v>(주)우민이엔지</v>
          </cell>
          <cell r="O707">
            <v>43170</v>
          </cell>
          <cell r="Q707" t="str">
            <v/>
          </cell>
          <cell r="S707">
            <v>45982</v>
          </cell>
          <cell r="U707" t="str">
            <v>EF8734657</v>
          </cell>
          <cell r="V707" t="str">
            <v>할석</v>
          </cell>
          <cell r="W707" t="str">
            <v>중국</v>
          </cell>
        </row>
        <row r="708">
          <cell r="A708" t="str">
            <v>마영병</v>
          </cell>
          <cell r="B708" t="str">
            <v>원주시 판부면 매봉길10-6</v>
          </cell>
          <cell r="C708" t="str">
            <v>690219-5</v>
          </cell>
          <cell r="D708" t="str">
            <v>010-9796-3331</v>
          </cell>
          <cell r="E708">
            <v>230000</v>
          </cell>
          <cell r="F708" t="str">
            <v>남</v>
          </cell>
          <cell r="G708">
            <v>58</v>
          </cell>
          <cell r="H708" t="str">
            <v>외국인</v>
          </cell>
          <cell r="J708" t="str">
            <v>할석</v>
          </cell>
          <cell r="K708" t="str">
            <v>한상윤</v>
          </cell>
          <cell r="O708">
            <v>43611</v>
          </cell>
          <cell r="R708">
            <v>46006</v>
          </cell>
          <cell r="S708">
            <v>46006</v>
          </cell>
          <cell r="T708">
            <v>46006</v>
          </cell>
          <cell r="U708" t="str">
            <v>E85344135</v>
          </cell>
          <cell r="V708" t="str">
            <v>미장</v>
          </cell>
          <cell r="W708" t="str">
            <v>중국</v>
          </cell>
        </row>
        <row r="709">
          <cell r="A709" t="str">
            <v>심태수</v>
          </cell>
          <cell r="B709" t="str">
            <v>서울 구로구 구로동로 7길 50-1</v>
          </cell>
          <cell r="C709" t="str">
            <v>590526-5300491</v>
          </cell>
          <cell r="D709" t="str">
            <v>010-8181-8852</v>
          </cell>
          <cell r="E709">
            <v>230000</v>
          </cell>
          <cell r="F709" t="str">
            <v>남</v>
          </cell>
          <cell r="G709">
            <v>68</v>
          </cell>
          <cell r="H709" t="str">
            <v>외국인</v>
          </cell>
          <cell r="I709" t="str">
            <v>SHENTAIZHU</v>
          </cell>
          <cell r="J709" t="str">
            <v>할석</v>
          </cell>
          <cell r="K709" t="str">
            <v>한상윤</v>
          </cell>
          <cell r="O709">
            <v>42907</v>
          </cell>
          <cell r="P709" t="str">
            <v>재외동포F4</v>
          </cell>
          <cell r="Q709">
            <v>44932</v>
          </cell>
          <cell r="R709">
            <v>46114</v>
          </cell>
          <cell r="S709">
            <v>46114</v>
          </cell>
          <cell r="T709">
            <v>46114</v>
          </cell>
          <cell r="V709" t="str">
            <v>할석공</v>
          </cell>
          <cell r="W709" t="str">
            <v>중국</v>
          </cell>
        </row>
        <row r="710">
          <cell r="A710" t="str">
            <v>수진군</v>
          </cell>
          <cell r="C710" t="str">
            <v>660606-5</v>
          </cell>
          <cell r="D710" t="str">
            <v>010-4392-1789</v>
          </cell>
          <cell r="E710">
            <v>230000</v>
          </cell>
          <cell r="F710" t="str">
            <v>남</v>
          </cell>
          <cell r="G710">
            <v>61</v>
          </cell>
          <cell r="H710" t="str">
            <v>외국인</v>
          </cell>
          <cell r="I710" t="str">
            <v>SUI JINJUN</v>
          </cell>
          <cell r="J710" t="str">
            <v>할석</v>
          </cell>
          <cell r="K710" t="str">
            <v>한상윤</v>
          </cell>
          <cell r="O710">
            <v>43911</v>
          </cell>
          <cell r="R710">
            <v>46114</v>
          </cell>
          <cell r="S710">
            <v>46114</v>
          </cell>
          <cell r="T710">
            <v>46114</v>
          </cell>
          <cell r="U710" t="str">
            <v>E53540186</v>
          </cell>
          <cell r="V710" t="str">
            <v>할석공</v>
          </cell>
          <cell r="W710" t="str">
            <v>중국</v>
          </cell>
        </row>
        <row r="711">
          <cell r="A711" t="str">
            <v>임희하</v>
          </cell>
          <cell r="B711" t="str">
            <v>원주시 판부면 매봉길10-6</v>
          </cell>
          <cell r="C711" t="str">
            <v>840606-5</v>
          </cell>
          <cell r="D711" t="str">
            <v>010-5861-8797</v>
          </cell>
          <cell r="E711">
            <v>230000</v>
          </cell>
          <cell r="F711" t="str">
            <v>남</v>
          </cell>
          <cell r="G711">
            <v>43</v>
          </cell>
          <cell r="H711" t="str">
            <v>외국인</v>
          </cell>
          <cell r="I711" t="str">
            <v>REN XIHE</v>
          </cell>
          <cell r="J711" t="str">
            <v>할석</v>
          </cell>
          <cell r="K711" t="str">
            <v>한상윤</v>
          </cell>
          <cell r="O711">
            <v>45170</v>
          </cell>
          <cell r="R711">
            <v>46174</v>
          </cell>
          <cell r="S711">
            <v>46174</v>
          </cell>
          <cell r="T711">
            <v>46174</v>
          </cell>
          <cell r="U711" t="str">
            <v>EB4619840</v>
          </cell>
          <cell r="V711" t="str">
            <v>할석공</v>
          </cell>
          <cell r="W711" t="str">
            <v>중국</v>
          </cell>
        </row>
        <row r="712">
          <cell r="A712" t="str">
            <v>장정학</v>
          </cell>
          <cell r="B712" t="str">
            <v>서울 영등포구 산길로47길 6-1</v>
          </cell>
          <cell r="C712" t="str">
            <v>560304-5920010</v>
          </cell>
          <cell r="D712" t="str">
            <v>010-8322-0262</v>
          </cell>
          <cell r="E712">
            <v>230000</v>
          </cell>
          <cell r="F712" t="str">
            <v>남</v>
          </cell>
          <cell r="G712">
            <v>71</v>
          </cell>
          <cell r="H712" t="str">
            <v>외국인</v>
          </cell>
          <cell r="I712" t="str">
            <v>ZHANG ZHENGHE</v>
          </cell>
          <cell r="J712" t="str">
            <v>할석</v>
          </cell>
          <cell r="K712" t="str">
            <v>한상윤</v>
          </cell>
          <cell r="O712">
            <v>42740</v>
          </cell>
          <cell r="P712" t="str">
            <v>재외동포F4</v>
          </cell>
          <cell r="Q712">
            <v>44287</v>
          </cell>
          <cell r="R712">
            <v>46227</v>
          </cell>
          <cell r="S712">
            <v>46227</v>
          </cell>
          <cell r="T712">
            <v>46227</v>
          </cell>
          <cell r="V712" t="str">
            <v>할석공</v>
          </cell>
          <cell r="W712" t="str">
            <v>중국</v>
          </cell>
        </row>
        <row r="713">
          <cell r="F713" t="str">
            <v/>
          </cell>
          <cell r="G713" t="str">
            <v/>
          </cell>
          <cell r="H713" t="str">
            <v/>
          </cell>
          <cell r="Q713" t="str">
            <v/>
          </cell>
        </row>
        <row r="714">
          <cell r="F714" t="str">
            <v/>
          </cell>
          <cell r="G714" t="str">
            <v/>
          </cell>
          <cell r="H714" t="str">
            <v/>
          </cell>
          <cell r="Q714" t="str">
            <v/>
          </cell>
        </row>
        <row r="715">
          <cell r="A715" t="str">
            <v>철근</v>
          </cell>
          <cell r="F715" t="str">
            <v/>
          </cell>
          <cell r="G715" t="str">
            <v/>
          </cell>
          <cell r="H715" t="str">
            <v/>
          </cell>
          <cell r="Q715" t="str">
            <v/>
          </cell>
        </row>
        <row r="716">
          <cell r="A716" t="str">
            <v>백호인</v>
          </cell>
          <cell r="B716" t="str">
            <v>오산시 경기대로25번길16,108동507호, 갈곶동</v>
          </cell>
          <cell r="C716" t="str">
            <v>610620-1080119</v>
          </cell>
          <cell r="D716" t="str">
            <v>010-3778-0249</v>
          </cell>
          <cell r="E716">
            <v>289000</v>
          </cell>
          <cell r="F716" t="str">
            <v>남</v>
          </cell>
          <cell r="G716">
            <v>66</v>
          </cell>
          <cell r="H716" t="str">
            <v>-</v>
          </cell>
          <cell r="J716" t="str">
            <v>철근공</v>
          </cell>
          <cell r="K716" t="str">
            <v>부장</v>
          </cell>
          <cell r="L716" t="str">
            <v>110-265-874955</v>
          </cell>
          <cell r="M716" t="str">
            <v>신한은행</v>
          </cell>
          <cell r="N716" t="str">
            <v>백호인</v>
          </cell>
          <cell r="Q716" t="str">
            <v/>
          </cell>
          <cell r="S716">
            <v>45824</v>
          </cell>
          <cell r="T716">
            <v>45824</v>
          </cell>
          <cell r="V716" t="str">
            <v>철근공</v>
          </cell>
        </row>
        <row r="717">
          <cell r="A717" t="str">
            <v>권기종</v>
          </cell>
          <cell r="B717" t="str">
            <v>수원시 팔달구 인계동319-6</v>
          </cell>
          <cell r="C717" t="str">
            <v>650225-1771714</v>
          </cell>
          <cell r="D717" t="str">
            <v>010-3526-2106</v>
          </cell>
          <cell r="E717">
            <v>250000</v>
          </cell>
          <cell r="F717" t="str">
            <v>남</v>
          </cell>
          <cell r="G717">
            <v>62</v>
          </cell>
          <cell r="H717" t="str">
            <v>-</v>
          </cell>
          <cell r="J717" t="str">
            <v>철근공</v>
          </cell>
          <cell r="K717" t="str">
            <v>차장</v>
          </cell>
          <cell r="L717" t="str">
            <v>6939-1033-27-7507</v>
          </cell>
          <cell r="M717" t="str">
            <v>하나은행</v>
          </cell>
          <cell r="N717" t="str">
            <v>권기종</v>
          </cell>
          <cell r="O717">
            <v>41228</v>
          </cell>
          <cell r="Q717" t="str">
            <v/>
          </cell>
          <cell r="S717">
            <v>45894</v>
          </cell>
          <cell r="T717">
            <v>45894</v>
          </cell>
          <cell r="V717" t="str">
            <v>철근공</v>
          </cell>
        </row>
        <row r="718">
          <cell r="A718" t="str">
            <v>박현정</v>
          </cell>
          <cell r="B718" t="str">
            <v>오산시 매홀로77번길5-1,201호</v>
          </cell>
          <cell r="C718" t="str">
            <v>681012-2482126</v>
          </cell>
          <cell r="D718" t="str">
            <v>010-3837-0749</v>
          </cell>
          <cell r="E718">
            <v>220000</v>
          </cell>
          <cell r="F718" t="str">
            <v>여</v>
          </cell>
          <cell r="G718">
            <v>59</v>
          </cell>
          <cell r="H718" t="str">
            <v>-</v>
          </cell>
          <cell r="J718" t="str">
            <v>철근공</v>
          </cell>
          <cell r="K718" t="str">
            <v>직영</v>
          </cell>
          <cell r="L718" t="str">
            <v>1002-8323-92065</v>
          </cell>
          <cell r="M718" t="str">
            <v>우리은행</v>
          </cell>
          <cell r="N718" t="str">
            <v>박현정</v>
          </cell>
          <cell r="O718">
            <v>41781</v>
          </cell>
          <cell r="Q718" t="str">
            <v/>
          </cell>
          <cell r="S718">
            <v>45894</v>
          </cell>
          <cell r="T718">
            <v>45894</v>
          </cell>
          <cell r="V718" t="str">
            <v>철근공</v>
          </cell>
        </row>
        <row r="719">
          <cell r="A719" t="str">
            <v>강대섭</v>
          </cell>
          <cell r="B719" t="str">
            <v>안산시 상록구 부곡동44</v>
          </cell>
          <cell r="C719" t="str">
            <v>650910-1350719</v>
          </cell>
          <cell r="D719" t="str">
            <v>010-3749-2468</v>
          </cell>
          <cell r="E719">
            <v>289000</v>
          </cell>
          <cell r="F719" t="str">
            <v>남</v>
          </cell>
          <cell r="G719">
            <v>62</v>
          </cell>
          <cell r="H719" t="str">
            <v>-</v>
          </cell>
          <cell r="J719" t="str">
            <v>철근공</v>
          </cell>
          <cell r="K719" t="str">
            <v>직영</v>
          </cell>
          <cell r="L719" t="str">
            <v>110-259-128774</v>
          </cell>
          <cell r="M719" t="str">
            <v>신한은행</v>
          </cell>
          <cell r="N719" t="str">
            <v>강대섭</v>
          </cell>
          <cell r="O719">
            <v>41165</v>
          </cell>
          <cell r="Q719" t="str">
            <v/>
          </cell>
          <cell r="S719">
            <v>45903</v>
          </cell>
          <cell r="T719">
            <v>45903</v>
          </cell>
          <cell r="V719" t="str">
            <v>철근공</v>
          </cell>
        </row>
        <row r="720">
          <cell r="A720" t="str">
            <v>홍승명</v>
          </cell>
          <cell r="B720" t="str">
            <v>대전시 동구 송촌남로11번길19-1</v>
          </cell>
          <cell r="C720" t="str">
            <v>640123-1401113</v>
          </cell>
          <cell r="D720" t="str">
            <v>010-2417-2909</v>
          </cell>
          <cell r="E720">
            <v>250000</v>
          </cell>
          <cell r="F720" t="str">
            <v>남</v>
          </cell>
          <cell r="G720">
            <v>63</v>
          </cell>
          <cell r="H720" t="str">
            <v>-</v>
          </cell>
          <cell r="J720" t="str">
            <v>철근공</v>
          </cell>
          <cell r="K720" t="str">
            <v>차장</v>
          </cell>
          <cell r="L720" t="str">
            <v>6452-8978-900108</v>
          </cell>
          <cell r="M720" t="str">
            <v>하나은행</v>
          </cell>
          <cell r="N720" t="str">
            <v>홍승명</v>
          </cell>
          <cell r="O720">
            <v>41039</v>
          </cell>
          <cell r="Q720" t="str">
            <v/>
          </cell>
          <cell r="S720">
            <v>45894</v>
          </cell>
          <cell r="T720">
            <v>45894</v>
          </cell>
          <cell r="V720" t="str">
            <v>철근공</v>
          </cell>
        </row>
        <row r="721">
          <cell r="A721" t="str">
            <v>유병준</v>
          </cell>
          <cell r="B721" t="str">
            <v>화성시 병점3로157,808-803</v>
          </cell>
          <cell r="C721" t="str">
            <v>630501-1095918</v>
          </cell>
          <cell r="D721" t="str">
            <v>010-3742-7458</v>
          </cell>
          <cell r="E721">
            <v>250000</v>
          </cell>
          <cell r="F721" t="str">
            <v>남</v>
          </cell>
          <cell r="G721">
            <v>64</v>
          </cell>
          <cell r="H721" t="str">
            <v>-</v>
          </cell>
          <cell r="J721" t="str">
            <v>철근공</v>
          </cell>
          <cell r="K721" t="str">
            <v>직영</v>
          </cell>
          <cell r="L721" t="str">
            <v>316-08-088785</v>
          </cell>
          <cell r="M721" t="str">
            <v>우리은행</v>
          </cell>
          <cell r="N721" t="str">
            <v>유병준</v>
          </cell>
          <cell r="O721">
            <v>41228</v>
          </cell>
          <cell r="Q721" t="str">
            <v/>
          </cell>
          <cell r="S721">
            <v>45910</v>
          </cell>
          <cell r="T721">
            <v>45910</v>
          </cell>
          <cell r="V721" t="str">
            <v>철근공</v>
          </cell>
        </row>
        <row r="722">
          <cell r="A722" t="str">
            <v>양종선</v>
          </cell>
          <cell r="B722" t="str">
            <v>인천시 계양구 도루리로52,503-1106</v>
          </cell>
          <cell r="C722" t="str">
            <v>610305-1639346</v>
          </cell>
          <cell r="D722" t="str">
            <v>010-4137-0282</v>
          </cell>
          <cell r="E722">
            <v>230000</v>
          </cell>
          <cell r="F722" t="str">
            <v>남</v>
          </cell>
          <cell r="G722">
            <v>66</v>
          </cell>
          <cell r="H722" t="str">
            <v>-</v>
          </cell>
          <cell r="J722" t="str">
            <v>철근공</v>
          </cell>
          <cell r="K722" t="str">
            <v>직영</v>
          </cell>
          <cell r="L722" t="str">
            <v>403-030422-01-012</v>
          </cell>
          <cell r="M722" t="str">
            <v>기업은행</v>
          </cell>
          <cell r="N722" t="str">
            <v>양종선</v>
          </cell>
          <cell r="O722">
            <v>41039</v>
          </cell>
          <cell r="Q722" t="str">
            <v/>
          </cell>
          <cell r="S722">
            <v>45896</v>
          </cell>
          <cell r="T722">
            <v>45896</v>
          </cell>
          <cell r="V722" t="str">
            <v>철근공</v>
          </cell>
        </row>
        <row r="723">
          <cell r="A723" t="str">
            <v>이재수</v>
          </cell>
          <cell r="B723" t="str">
            <v>청주시 청원구 1순환로123, 103-2301</v>
          </cell>
          <cell r="C723" t="str">
            <v>610721-1389910</v>
          </cell>
          <cell r="D723" t="str">
            <v>010-6361-6660</v>
          </cell>
          <cell r="E723">
            <v>230000</v>
          </cell>
          <cell r="F723" t="str">
            <v>남</v>
          </cell>
          <cell r="G723">
            <v>66</v>
          </cell>
          <cell r="H723" t="str">
            <v>-</v>
          </cell>
          <cell r="J723" t="str">
            <v>철근공</v>
          </cell>
          <cell r="K723" t="str">
            <v>직영</v>
          </cell>
          <cell r="L723" t="str">
            <v>352-1803-1183-43</v>
          </cell>
          <cell r="M723" t="str">
            <v>농협은행</v>
          </cell>
          <cell r="N723" t="str">
            <v>이재수</v>
          </cell>
          <cell r="O723">
            <v>41522</v>
          </cell>
          <cell r="Q723" t="str">
            <v/>
          </cell>
          <cell r="S723">
            <v>45903</v>
          </cell>
          <cell r="T723">
            <v>45903</v>
          </cell>
          <cell r="V723" t="str">
            <v>철근공</v>
          </cell>
        </row>
        <row r="724">
          <cell r="A724" t="str">
            <v>이장희</v>
          </cell>
          <cell r="B724" t="str">
            <v>대구시 동구 반야월북로269-26,A동401호</v>
          </cell>
          <cell r="C724" t="str">
            <v>800828-1697220</v>
          </cell>
          <cell r="D724" t="str">
            <v>010-9660-3299</v>
          </cell>
          <cell r="E724">
            <v>230000</v>
          </cell>
          <cell r="F724" t="str">
            <v>남</v>
          </cell>
          <cell r="G724">
            <v>47</v>
          </cell>
          <cell r="H724" t="str">
            <v>-</v>
          </cell>
          <cell r="J724" t="str">
            <v>철근공</v>
          </cell>
          <cell r="K724" t="str">
            <v>직영</v>
          </cell>
          <cell r="L724" t="str">
            <v>9003-2414-93898</v>
          </cell>
          <cell r="M724" t="str">
            <v>새마을금고중앙회</v>
          </cell>
          <cell r="N724" t="str">
            <v>이장희</v>
          </cell>
          <cell r="O724">
            <v>42992</v>
          </cell>
          <cell r="Q724" t="str">
            <v/>
          </cell>
          <cell r="S724">
            <v>45917</v>
          </cell>
          <cell r="T724">
            <v>45917</v>
          </cell>
          <cell r="V724" t="str">
            <v>철근공</v>
          </cell>
        </row>
        <row r="725">
          <cell r="F725" t="str">
            <v/>
          </cell>
          <cell r="G725" t="str">
            <v/>
          </cell>
          <cell r="H725" t="str">
            <v/>
          </cell>
          <cell r="Q725" t="str">
            <v/>
          </cell>
        </row>
        <row r="726">
          <cell r="A726" t="str">
            <v>배상문</v>
          </cell>
          <cell r="B726" t="str">
            <v>부산시 사하구 낙동대로536번길2,29호</v>
          </cell>
          <cell r="C726" t="str">
            <v>750925-1106111</v>
          </cell>
          <cell r="D726" t="str">
            <v>010-7608-0592</v>
          </cell>
          <cell r="E726">
            <v>327000</v>
          </cell>
          <cell r="F726" t="str">
            <v>남</v>
          </cell>
          <cell r="G726">
            <v>52</v>
          </cell>
          <cell r="H726" t="str">
            <v>-</v>
          </cell>
          <cell r="J726" t="str">
            <v>철근공</v>
          </cell>
          <cell r="K726" t="str">
            <v>부장</v>
          </cell>
          <cell r="L726" t="str">
            <v>137-12-028469-0</v>
          </cell>
          <cell r="M726" t="str">
            <v>부산은행</v>
          </cell>
          <cell r="N726" t="str">
            <v>배서빈</v>
          </cell>
          <cell r="O726">
            <v>41695</v>
          </cell>
          <cell r="Q726" t="str">
            <v/>
          </cell>
          <cell r="S726">
            <v>45939</v>
          </cell>
          <cell r="T726">
            <v>45939</v>
          </cell>
          <cell r="V726" t="str">
            <v>철근공</v>
          </cell>
        </row>
        <row r="727">
          <cell r="A727" t="str">
            <v>차재학</v>
          </cell>
          <cell r="B727" t="str">
            <v>경남 고성군 개천면 가천리236-1</v>
          </cell>
          <cell r="C727" t="str">
            <v>740815-1908518</v>
          </cell>
          <cell r="D727" t="str">
            <v>010-2887-2871</v>
          </cell>
          <cell r="E727">
            <v>260000</v>
          </cell>
          <cell r="F727" t="str">
            <v>남</v>
          </cell>
          <cell r="G727">
            <v>53</v>
          </cell>
          <cell r="H727" t="str">
            <v>-</v>
          </cell>
          <cell r="J727" t="str">
            <v>철근공</v>
          </cell>
          <cell r="K727" t="str">
            <v>차장</v>
          </cell>
          <cell r="L727" t="str">
            <v xml:space="preserve">1002-238-148678 </v>
          </cell>
          <cell r="M727" t="str">
            <v>우리은행</v>
          </cell>
          <cell r="N727" t="str">
            <v>차재학</v>
          </cell>
          <cell r="O727">
            <v>42744</v>
          </cell>
          <cell r="Q727" t="str">
            <v/>
          </cell>
          <cell r="S727">
            <v>45939</v>
          </cell>
          <cell r="T727">
            <v>45939</v>
          </cell>
          <cell r="V727" t="str">
            <v>철근공</v>
          </cell>
        </row>
        <row r="728">
          <cell r="A728" t="str">
            <v>김수민</v>
          </cell>
          <cell r="B728" t="str">
            <v>김해시 월산로13-14,808-1001</v>
          </cell>
          <cell r="C728" t="str">
            <v>810204-1906428</v>
          </cell>
          <cell r="D728" t="str">
            <v>010-4153-8005</v>
          </cell>
          <cell r="E728">
            <v>250000</v>
          </cell>
          <cell r="F728" t="str">
            <v>남</v>
          </cell>
          <cell r="G728">
            <v>46</v>
          </cell>
          <cell r="H728" t="str">
            <v>-</v>
          </cell>
          <cell r="J728" t="str">
            <v>철근공</v>
          </cell>
          <cell r="K728" t="str">
            <v>이사</v>
          </cell>
          <cell r="L728" t="str">
            <v>1002-255-708388</v>
          </cell>
          <cell r="M728" t="str">
            <v>우리은행</v>
          </cell>
          <cell r="N728" t="str">
            <v>김수민</v>
          </cell>
          <cell r="O728">
            <v>42390</v>
          </cell>
          <cell r="Q728" t="str">
            <v/>
          </cell>
          <cell r="S728">
            <v>45939</v>
          </cell>
          <cell r="T728">
            <v>45939</v>
          </cell>
          <cell r="V728" t="str">
            <v>철근공</v>
          </cell>
        </row>
        <row r="729">
          <cell r="A729" t="str">
            <v>곽용순</v>
          </cell>
          <cell r="B729" t="str">
            <v>대구광역시 북구 대현로14길 9-11</v>
          </cell>
          <cell r="C729" t="str">
            <v>800319-1697110</v>
          </cell>
          <cell r="D729" t="str">
            <v>010-9354-5989</v>
          </cell>
          <cell r="E729">
            <v>190000</v>
          </cell>
          <cell r="F729" t="str">
            <v>남</v>
          </cell>
          <cell r="G729">
            <v>47</v>
          </cell>
          <cell r="H729" t="str">
            <v>-</v>
          </cell>
          <cell r="J729" t="str">
            <v>철근공</v>
          </cell>
          <cell r="K729" t="str">
            <v>신호수</v>
          </cell>
          <cell r="L729" t="str">
            <v>110-420-667740</v>
          </cell>
          <cell r="M729" t="str">
            <v>신한은행</v>
          </cell>
          <cell r="N729" t="str">
            <v>곽용순</v>
          </cell>
          <cell r="O729">
            <v>42903</v>
          </cell>
          <cell r="Q729" t="str">
            <v/>
          </cell>
          <cell r="R729">
            <v>45952</v>
          </cell>
          <cell r="S729">
            <v>45952</v>
          </cell>
          <cell r="T729">
            <v>45952</v>
          </cell>
          <cell r="V729" t="str">
            <v>철근공</v>
          </cell>
        </row>
        <row r="730">
          <cell r="A730" t="str">
            <v>홍정수</v>
          </cell>
          <cell r="B730" t="str">
            <v>경기 안산시 단원구 관산2길 4-3 401호</v>
          </cell>
          <cell r="C730" t="str">
            <v>751120-5820017</v>
          </cell>
          <cell r="D730" t="str">
            <v>010-2070-8557</v>
          </cell>
          <cell r="E730">
            <v>230000</v>
          </cell>
          <cell r="F730" t="str">
            <v>남</v>
          </cell>
          <cell r="G730">
            <v>52</v>
          </cell>
          <cell r="H730" t="str">
            <v>외국인</v>
          </cell>
          <cell r="I730" t="str">
            <v>HONG ZHENGZHU</v>
          </cell>
          <cell r="J730" t="str">
            <v xml:space="preserve"> 철근공</v>
          </cell>
          <cell r="K730" t="str">
            <v>직영</v>
          </cell>
          <cell r="L730" t="str">
            <v>472-910432-60307</v>
          </cell>
          <cell r="M730" t="str">
            <v>하나은행</v>
          </cell>
          <cell r="N730" t="str">
            <v>HONG ZHENGZHU</v>
          </cell>
          <cell r="O730">
            <v>42774</v>
          </cell>
          <cell r="P730" t="str">
            <v>영주F5</v>
          </cell>
          <cell r="Q730">
            <v>48857</v>
          </cell>
          <cell r="R730">
            <v>46006</v>
          </cell>
          <cell r="S730">
            <v>46006</v>
          </cell>
          <cell r="T730">
            <v>46006</v>
          </cell>
          <cell r="V730" t="str">
            <v>철근공</v>
          </cell>
          <cell r="W730" t="str">
            <v>중국</v>
          </cell>
        </row>
        <row r="731">
          <cell r="A731" t="str">
            <v>허영남</v>
          </cell>
          <cell r="B731" t="str">
            <v>울산 울주군 삼남면 남상평1길, 37 202호</v>
          </cell>
          <cell r="C731" t="str">
            <v>720402-5101993</v>
          </cell>
          <cell r="D731" t="str">
            <v>010-6503-5198</v>
          </cell>
          <cell r="E731">
            <v>230000</v>
          </cell>
          <cell r="F731" t="str">
            <v>남</v>
          </cell>
          <cell r="G731">
            <v>55</v>
          </cell>
          <cell r="H731" t="str">
            <v>외국인</v>
          </cell>
          <cell r="I731" t="str">
            <v>XU YONGNAN</v>
          </cell>
          <cell r="J731" t="str">
            <v xml:space="preserve"> 철근공</v>
          </cell>
          <cell r="K731" t="str">
            <v>직영</v>
          </cell>
          <cell r="L731" t="str">
            <v>830502-04-206700</v>
          </cell>
          <cell r="M731" t="str">
            <v>국민은행</v>
          </cell>
          <cell r="N731" t="str">
            <v>XU YONGNAN</v>
          </cell>
          <cell r="O731">
            <v>42425</v>
          </cell>
          <cell r="P731" t="str">
            <v>영주F5</v>
          </cell>
          <cell r="Q731">
            <v>48504</v>
          </cell>
          <cell r="R731">
            <v>46010</v>
          </cell>
          <cell r="S731">
            <v>46010</v>
          </cell>
          <cell r="T731">
            <v>46010</v>
          </cell>
          <cell r="V731" t="str">
            <v>철근공</v>
          </cell>
          <cell r="W731" t="str">
            <v>중국</v>
          </cell>
        </row>
        <row r="732">
          <cell r="A732" t="str">
            <v>김경현</v>
          </cell>
          <cell r="B732" t="str">
            <v>부산 강서구 과학산단2로20번길 91 104-901</v>
          </cell>
          <cell r="C732" t="str">
            <v>801224-1095522</v>
          </cell>
          <cell r="D732" t="str">
            <v>010-4801-4840</v>
          </cell>
          <cell r="E732">
            <v>250000</v>
          </cell>
          <cell r="F732" t="str">
            <v>남</v>
          </cell>
          <cell r="G732">
            <v>47</v>
          </cell>
          <cell r="H732" t="str">
            <v>-</v>
          </cell>
          <cell r="J732" t="str">
            <v xml:space="preserve"> 철근공</v>
          </cell>
          <cell r="K732" t="str">
            <v>직영</v>
          </cell>
          <cell r="L732" t="str">
            <v>9270401-01-298416</v>
          </cell>
          <cell r="M732" t="str">
            <v>국민은행</v>
          </cell>
          <cell r="N732" t="str">
            <v>김경현</v>
          </cell>
          <cell r="O732">
            <v>43066</v>
          </cell>
          <cell r="Q732" t="str">
            <v/>
          </cell>
          <cell r="R732">
            <v>46097</v>
          </cell>
          <cell r="S732">
            <v>46097</v>
          </cell>
          <cell r="T732">
            <v>46097</v>
          </cell>
          <cell r="V732" t="str">
            <v>철근공</v>
          </cell>
        </row>
        <row r="733">
          <cell r="F733" t="str">
            <v/>
          </cell>
          <cell r="G733" t="str">
            <v/>
          </cell>
          <cell r="H733" t="str">
            <v/>
          </cell>
          <cell r="Q733" t="str">
            <v/>
          </cell>
        </row>
        <row r="734">
          <cell r="F734" t="str">
            <v/>
          </cell>
          <cell r="G734" t="str">
            <v/>
          </cell>
          <cell r="H734" t="str">
            <v/>
          </cell>
          <cell r="Q734" t="str">
            <v/>
          </cell>
        </row>
        <row r="735">
          <cell r="F735" t="str">
            <v/>
          </cell>
          <cell r="G735" t="str">
            <v/>
          </cell>
          <cell r="H735" t="str">
            <v/>
          </cell>
          <cell r="Q735" t="str">
            <v/>
          </cell>
        </row>
        <row r="736">
          <cell r="F736" t="str">
            <v/>
          </cell>
          <cell r="G736" t="str">
            <v/>
          </cell>
          <cell r="H736" t="str">
            <v/>
          </cell>
          <cell r="Q736" t="str">
            <v/>
          </cell>
        </row>
        <row r="737">
          <cell r="F737" t="str">
            <v/>
          </cell>
          <cell r="G737" t="str">
            <v/>
          </cell>
          <cell r="H737" t="str">
            <v/>
          </cell>
          <cell r="Q737" t="str">
            <v/>
          </cell>
        </row>
        <row r="738">
          <cell r="F738" t="str">
            <v/>
          </cell>
          <cell r="G738" t="str">
            <v/>
          </cell>
          <cell r="H738" t="str">
            <v/>
          </cell>
          <cell r="Q738" t="str">
            <v/>
          </cell>
        </row>
        <row r="739">
          <cell r="A739" t="str">
            <v>나청산</v>
          </cell>
          <cell r="B739" t="str">
            <v>시흥시 오이도7길17,202호</v>
          </cell>
          <cell r="C739" t="str">
            <v>761101-5760296</v>
          </cell>
          <cell r="D739" t="str">
            <v>010-8886-5095</v>
          </cell>
          <cell r="E739">
            <v>230000</v>
          </cell>
          <cell r="F739" t="str">
            <v>남</v>
          </cell>
          <cell r="G739">
            <v>51</v>
          </cell>
          <cell r="H739" t="str">
            <v>외국인</v>
          </cell>
          <cell r="I739" t="str">
            <v>LUO QINGSHAN</v>
          </cell>
          <cell r="J739" t="str">
            <v>철근공</v>
          </cell>
          <cell r="K739" t="str">
            <v>나청산팀</v>
          </cell>
          <cell r="L739" t="str">
            <v>352-1944-7255-03</v>
          </cell>
          <cell r="M739" t="str">
            <v>농협은행</v>
          </cell>
          <cell r="N739" t="str">
            <v>LUO QINGSHAN</v>
          </cell>
          <cell r="O739">
            <v>41095</v>
          </cell>
          <cell r="P739" t="str">
            <v>재외동포F4</v>
          </cell>
          <cell r="Q739">
            <v>46764</v>
          </cell>
          <cell r="S739">
            <v>45897</v>
          </cell>
          <cell r="T739">
            <v>45897</v>
          </cell>
          <cell r="U739" t="str">
            <v>EJ47812142</v>
          </cell>
          <cell r="V739" t="str">
            <v>철근공</v>
          </cell>
          <cell r="W739" t="str">
            <v>중국</v>
          </cell>
        </row>
        <row r="740">
          <cell r="A740" t="str">
            <v>차관진</v>
          </cell>
          <cell r="B740" t="str">
            <v>경기 안산시 상록구 천문2길 28</v>
          </cell>
          <cell r="C740" t="str">
            <v>590820-1067616</v>
          </cell>
          <cell r="D740" t="str">
            <v>010-2254-9786</v>
          </cell>
          <cell r="E740">
            <v>233000</v>
          </cell>
          <cell r="F740" t="str">
            <v>남</v>
          </cell>
          <cell r="G740">
            <v>68</v>
          </cell>
          <cell r="H740" t="str">
            <v>-</v>
          </cell>
          <cell r="J740" t="str">
            <v>철근공</v>
          </cell>
          <cell r="K740" t="str">
            <v>나청산팀</v>
          </cell>
          <cell r="L740" t="str">
            <v>110-414-562895</v>
          </cell>
          <cell r="M740" t="str">
            <v>신한은행</v>
          </cell>
          <cell r="N740" t="str">
            <v>차관진</v>
          </cell>
          <cell r="O740">
            <v>41396</v>
          </cell>
          <cell r="Q740" t="str">
            <v/>
          </cell>
          <cell r="S740">
            <v>45897</v>
          </cell>
          <cell r="T740">
            <v>45897</v>
          </cell>
          <cell r="V740" t="str">
            <v>철근공</v>
          </cell>
        </row>
        <row r="741">
          <cell r="A741" t="str">
            <v>정해철</v>
          </cell>
          <cell r="B741" t="str">
            <v>안산시 단원구 화정천동로5안길31</v>
          </cell>
          <cell r="C741" t="str">
            <v>660111-1537922</v>
          </cell>
          <cell r="D741" t="str">
            <v>010-2974-1733</v>
          </cell>
          <cell r="E741">
            <v>233000</v>
          </cell>
          <cell r="F741" t="str">
            <v>남</v>
          </cell>
          <cell r="G741">
            <v>61</v>
          </cell>
          <cell r="H741" t="str">
            <v>-</v>
          </cell>
          <cell r="J741" t="str">
            <v>철근공</v>
          </cell>
          <cell r="K741" t="str">
            <v>나청산팀</v>
          </cell>
          <cell r="L741" t="str">
            <v>352-1290-9305-03</v>
          </cell>
          <cell r="M741" t="str">
            <v>농협은행</v>
          </cell>
          <cell r="N741" t="str">
            <v>정해철</v>
          </cell>
          <cell r="O741">
            <v>41842</v>
          </cell>
          <cell r="Q741" t="str">
            <v/>
          </cell>
          <cell r="S741">
            <v>45917</v>
          </cell>
          <cell r="T741">
            <v>45917</v>
          </cell>
          <cell r="V741" t="str">
            <v>철근공</v>
          </cell>
        </row>
        <row r="742">
          <cell r="A742" t="str">
            <v>김종채</v>
          </cell>
          <cell r="B742" t="str">
            <v>서울 광진구 천호대로 116길 92-7(능동)</v>
          </cell>
          <cell r="C742" t="str">
            <v>630712-1635011</v>
          </cell>
          <cell r="D742" t="str">
            <v>010-3664-3500</v>
          </cell>
          <cell r="E742">
            <v>233000</v>
          </cell>
          <cell r="F742" t="str">
            <v>남</v>
          </cell>
          <cell r="G742">
            <v>64</v>
          </cell>
          <cell r="H742" t="str">
            <v>-</v>
          </cell>
          <cell r="J742" t="str">
            <v>철근공</v>
          </cell>
          <cell r="K742" t="str">
            <v>나청산팀</v>
          </cell>
          <cell r="L742" t="str">
            <v>087901-04-092348</v>
          </cell>
          <cell r="M742" t="str">
            <v>국민은행</v>
          </cell>
          <cell r="N742" t="str">
            <v>김종채</v>
          </cell>
          <cell r="O742">
            <v>41465</v>
          </cell>
          <cell r="Q742" t="str">
            <v/>
          </cell>
          <cell r="R742">
            <v>45950</v>
          </cell>
          <cell r="S742">
            <v>45950</v>
          </cell>
          <cell r="T742">
            <v>45950</v>
          </cell>
          <cell r="V742" t="str">
            <v>철근공</v>
          </cell>
        </row>
        <row r="743">
          <cell r="A743" t="str">
            <v>김해문</v>
          </cell>
          <cell r="C743" t="str">
            <v>881014-5100694</v>
          </cell>
          <cell r="D743" t="str">
            <v>010-2188-9526</v>
          </cell>
          <cell r="E743">
            <v>233000</v>
          </cell>
          <cell r="F743" t="str">
            <v>남</v>
          </cell>
          <cell r="G743">
            <v>39</v>
          </cell>
          <cell r="H743" t="str">
            <v>외국인</v>
          </cell>
          <cell r="I743" t="str">
            <v>JIN HAIYUN</v>
          </cell>
          <cell r="J743" t="str">
            <v>철근공</v>
          </cell>
          <cell r="K743" t="str">
            <v>나청산팀</v>
          </cell>
          <cell r="L743" t="str">
            <v>1010-2735-4600</v>
          </cell>
          <cell r="M743" t="str">
            <v>수협은행</v>
          </cell>
          <cell r="N743" t="str">
            <v>(주)우민이엔지</v>
          </cell>
          <cell r="O743">
            <v>41208</v>
          </cell>
          <cell r="P743" t="str">
            <v>재외동포F-4</v>
          </cell>
          <cell r="Q743">
            <v>46893</v>
          </cell>
          <cell r="R743">
            <v>45971</v>
          </cell>
          <cell r="S743">
            <v>45971</v>
          </cell>
          <cell r="T743">
            <v>45971</v>
          </cell>
          <cell r="V743" t="str">
            <v>철근공</v>
          </cell>
          <cell r="W743" t="str">
            <v>중국</v>
          </cell>
        </row>
        <row r="744">
          <cell r="F744" t="str">
            <v/>
          </cell>
          <cell r="G744" t="str">
            <v/>
          </cell>
          <cell r="H744" t="str">
            <v/>
          </cell>
          <cell r="Q744" t="str">
            <v/>
          </cell>
        </row>
        <row r="745">
          <cell r="A745" t="str">
            <v>나금산</v>
          </cell>
          <cell r="B745" t="str">
            <v>고양시 일산동구 강촌로12번길16-9,101</v>
          </cell>
          <cell r="C745" t="str">
            <v>800121-5761194</v>
          </cell>
          <cell r="D745" t="str">
            <v>010-5937-3784</v>
          </cell>
          <cell r="E745">
            <v>160000</v>
          </cell>
          <cell r="F745" t="str">
            <v>남</v>
          </cell>
          <cell r="G745">
            <v>47</v>
          </cell>
          <cell r="H745" t="str">
            <v>외국인</v>
          </cell>
          <cell r="I745" t="str">
            <v>LUO JINSHAN</v>
          </cell>
          <cell r="J745" t="str">
            <v>철근공</v>
          </cell>
          <cell r="K745" t="str">
            <v>나청산팀</v>
          </cell>
          <cell r="L745" t="str">
            <v>1010-2735-4600</v>
          </cell>
          <cell r="M745" t="str">
            <v>수협은행</v>
          </cell>
          <cell r="N745" t="str">
            <v>(주)우민이엔지</v>
          </cell>
          <cell r="P745" t="str">
            <v>방문취업H2</v>
          </cell>
          <cell r="Q745">
            <v>46914</v>
          </cell>
          <cell r="S745">
            <v>45897</v>
          </cell>
          <cell r="T745">
            <v>45897</v>
          </cell>
          <cell r="U745" t="str">
            <v>EH9333632</v>
          </cell>
          <cell r="V745" t="str">
            <v>철근공</v>
          </cell>
          <cell r="W745" t="str">
            <v>중국</v>
          </cell>
        </row>
        <row r="746">
          <cell r="A746" t="str">
            <v>나정자</v>
          </cell>
          <cell r="B746" t="str">
            <v>충남 예산군 덕산면 예덕로7</v>
          </cell>
          <cell r="C746" t="str">
            <v>730122-6100795</v>
          </cell>
          <cell r="D746" t="str">
            <v>010-8928-9781</v>
          </cell>
          <cell r="E746">
            <v>160000</v>
          </cell>
          <cell r="F746" t="str">
            <v>여</v>
          </cell>
          <cell r="G746">
            <v>54</v>
          </cell>
          <cell r="H746" t="str">
            <v>외국인</v>
          </cell>
          <cell r="I746" t="str">
            <v>LUO ZHENGZI</v>
          </cell>
          <cell r="J746" t="str">
            <v>철근공</v>
          </cell>
          <cell r="K746" t="str">
            <v>나청산팀</v>
          </cell>
          <cell r="L746" t="str">
            <v>1010-2735-4600</v>
          </cell>
          <cell r="M746" t="str">
            <v>수협은행</v>
          </cell>
          <cell r="N746" t="str">
            <v>(주)우민이엔지</v>
          </cell>
          <cell r="P746" t="str">
            <v>영주F5</v>
          </cell>
          <cell r="Q746">
            <v>48010</v>
          </cell>
          <cell r="S746">
            <v>45897</v>
          </cell>
          <cell r="T746">
            <v>45897</v>
          </cell>
          <cell r="U746" t="str">
            <v>EE1285716</v>
          </cell>
          <cell r="V746" t="str">
            <v>철근공</v>
          </cell>
          <cell r="W746" t="str">
            <v>중국</v>
          </cell>
        </row>
        <row r="747">
          <cell r="A747" t="str">
            <v>나옥분</v>
          </cell>
          <cell r="B747" t="str">
            <v>안산시 단원구 부부로1길 11-13,205호</v>
          </cell>
          <cell r="C747" t="str">
            <v>620820-6820012</v>
          </cell>
          <cell r="D747" t="str">
            <v>010-5839-5333</v>
          </cell>
          <cell r="E747">
            <v>160000</v>
          </cell>
          <cell r="F747" t="str">
            <v>여</v>
          </cell>
          <cell r="G747">
            <v>65</v>
          </cell>
          <cell r="H747" t="str">
            <v>외국인</v>
          </cell>
          <cell r="I747" t="str">
            <v>LUO YUFEN</v>
          </cell>
          <cell r="J747" t="str">
            <v>철근공</v>
          </cell>
          <cell r="K747" t="str">
            <v>나청산팀</v>
          </cell>
          <cell r="L747" t="str">
            <v>1010-2735-4600</v>
          </cell>
          <cell r="M747" t="str">
            <v>수협은행</v>
          </cell>
          <cell r="N747" t="str">
            <v>(주)우민이엔지</v>
          </cell>
          <cell r="P747" t="str">
            <v>재외동포F4</v>
          </cell>
          <cell r="Q747">
            <v>46907</v>
          </cell>
          <cell r="S747">
            <v>45897</v>
          </cell>
          <cell r="T747">
            <v>45897</v>
          </cell>
          <cell r="U747" t="str">
            <v>ED1047865</v>
          </cell>
          <cell r="V747" t="str">
            <v>철근공</v>
          </cell>
          <cell r="W747" t="str">
            <v>중국</v>
          </cell>
        </row>
        <row r="748">
          <cell r="A748" t="str">
            <v>서철원</v>
          </cell>
          <cell r="B748" t="str">
            <v>전주시 완산구 삼천동1가 706삼익프라자1109호</v>
          </cell>
          <cell r="C748" t="str">
            <v>640808-1483217</v>
          </cell>
          <cell r="D748" t="str">
            <v>010-6600-9595</v>
          </cell>
          <cell r="E748">
            <v>160000</v>
          </cell>
          <cell r="F748" t="str">
            <v>남</v>
          </cell>
          <cell r="G748">
            <v>63</v>
          </cell>
          <cell r="H748" t="str">
            <v>-</v>
          </cell>
          <cell r="J748" t="str">
            <v>철근공</v>
          </cell>
          <cell r="K748" t="str">
            <v>나청산팀</v>
          </cell>
          <cell r="L748" t="str">
            <v>1010-2735-4600</v>
          </cell>
          <cell r="M748" t="str">
            <v>수협은행</v>
          </cell>
          <cell r="N748" t="str">
            <v>(주)우민이엔지</v>
          </cell>
          <cell r="Q748" t="str">
            <v/>
          </cell>
          <cell r="S748">
            <v>45897</v>
          </cell>
          <cell r="T748">
            <v>45897</v>
          </cell>
          <cell r="V748" t="str">
            <v>철근공</v>
          </cell>
        </row>
        <row r="749">
          <cell r="A749" t="str">
            <v>박용봉</v>
          </cell>
          <cell r="B749" t="str">
            <v>안산시 단원구 부부로1길 11-13,105호</v>
          </cell>
          <cell r="C749" t="str">
            <v>890526-5820139</v>
          </cell>
          <cell r="D749" t="str">
            <v>010-7980-5026</v>
          </cell>
          <cell r="E749">
            <v>160000</v>
          </cell>
          <cell r="F749" t="str">
            <v>남</v>
          </cell>
          <cell r="G749">
            <v>38</v>
          </cell>
          <cell r="H749" t="str">
            <v>외국인</v>
          </cell>
          <cell r="I749" t="str">
            <v>PIAO LONGFENG</v>
          </cell>
          <cell r="J749" t="str">
            <v>철근공</v>
          </cell>
          <cell r="K749" t="str">
            <v>나청산팀</v>
          </cell>
          <cell r="L749" t="str">
            <v>1010-2735-4600</v>
          </cell>
          <cell r="M749" t="str">
            <v>수협은행</v>
          </cell>
          <cell r="N749" t="str">
            <v>(주)우민이엔지</v>
          </cell>
          <cell r="P749" t="str">
            <v>방문취업H2</v>
          </cell>
          <cell r="Q749">
            <v>46146</v>
          </cell>
          <cell r="S749">
            <v>45897</v>
          </cell>
          <cell r="T749">
            <v>45897</v>
          </cell>
          <cell r="U749" t="str">
            <v>EG5831189</v>
          </cell>
          <cell r="V749" t="str">
            <v>철근공</v>
          </cell>
          <cell r="W749" t="str">
            <v>중국</v>
          </cell>
        </row>
        <row r="750">
          <cell r="F750" t="str">
            <v/>
          </cell>
          <cell r="G750" t="str">
            <v/>
          </cell>
          <cell r="H750" t="str">
            <v/>
          </cell>
          <cell r="Q750" t="str">
            <v/>
          </cell>
        </row>
        <row r="751">
          <cell r="A751" t="str">
            <v>아디싹</v>
          </cell>
          <cell r="B751" t="str">
            <v>원주시 금불1길9,56-4</v>
          </cell>
          <cell r="D751" t="str">
            <v>010-9760-9993</v>
          </cell>
          <cell r="E751">
            <v>192000</v>
          </cell>
          <cell r="G751">
            <v>26</v>
          </cell>
          <cell r="H751" t="str">
            <v/>
          </cell>
          <cell r="I751" t="str">
            <v>ADISAK JENKRABUAN</v>
          </cell>
          <cell r="J751" t="str">
            <v>철근공</v>
          </cell>
          <cell r="K751" t="str">
            <v>나청산팀</v>
          </cell>
          <cell r="L751" t="str">
            <v>365-910503-03707</v>
          </cell>
          <cell r="M751" t="str">
            <v>하나은행</v>
          </cell>
          <cell r="N751" t="str">
            <v>JENKRABUAN ADISAK</v>
          </cell>
          <cell r="O751">
            <v>43539</v>
          </cell>
          <cell r="S751">
            <v>45897</v>
          </cell>
          <cell r="U751" t="str">
            <v>AB3304679</v>
          </cell>
          <cell r="V751" t="str">
            <v>철근공</v>
          </cell>
          <cell r="W751" t="str">
            <v>태국</v>
          </cell>
        </row>
        <row r="752">
          <cell r="A752" t="str">
            <v>씩티왓</v>
          </cell>
          <cell r="B752" t="str">
            <v>경기 시흥시 정왕동</v>
          </cell>
          <cell r="D752" t="str">
            <v>010-3255-3871</v>
          </cell>
          <cell r="E752">
            <v>192000</v>
          </cell>
          <cell r="F752" t="str">
            <v/>
          </cell>
          <cell r="G752">
            <v>41</v>
          </cell>
          <cell r="H752" t="str">
            <v/>
          </cell>
          <cell r="I752" t="str">
            <v>SIDTHIWAT KHOTMONGKHON</v>
          </cell>
          <cell r="J752" t="str">
            <v>철근공</v>
          </cell>
          <cell r="K752" t="str">
            <v>나청산팀</v>
          </cell>
          <cell r="L752" t="str">
            <v>401-910528-52507</v>
          </cell>
          <cell r="M752" t="str">
            <v>하나은행</v>
          </cell>
          <cell r="N752" t="str">
            <v>KHOTMONGKHON SIDTHIWAT</v>
          </cell>
          <cell r="O752">
            <v>43948</v>
          </cell>
          <cell r="Q752" t="str">
            <v/>
          </cell>
          <cell r="S752">
            <v>45897</v>
          </cell>
          <cell r="U752" t="str">
            <v>AC3548212</v>
          </cell>
          <cell r="V752" t="str">
            <v>철근공</v>
          </cell>
          <cell r="W752" t="str">
            <v>태국</v>
          </cell>
        </row>
        <row r="753">
          <cell r="A753" t="str">
            <v>싸마이</v>
          </cell>
          <cell r="B753" t="str">
            <v>경기 시흥시 정왕동</v>
          </cell>
          <cell r="D753" t="str">
            <v>010-9699-9734</v>
          </cell>
          <cell r="E753">
            <v>192000</v>
          </cell>
          <cell r="F753" t="str">
            <v/>
          </cell>
          <cell r="G753">
            <v>47</v>
          </cell>
          <cell r="H753" t="str">
            <v/>
          </cell>
          <cell r="I753" t="str">
            <v>SAMAI BORIHAN</v>
          </cell>
          <cell r="J753" t="str">
            <v>철근공</v>
          </cell>
          <cell r="K753" t="str">
            <v>나청산팀</v>
          </cell>
          <cell r="L753" t="str">
            <v>242-910095-68207</v>
          </cell>
          <cell r="M753" t="str">
            <v>하나은행</v>
          </cell>
          <cell r="N753" t="str">
            <v>BORIHAN SAMAI</v>
          </cell>
          <cell r="O753">
            <v>43987</v>
          </cell>
          <cell r="Q753" t="str">
            <v/>
          </cell>
          <cell r="S753">
            <v>45897</v>
          </cell>
          <cell r="U753" t="str">
            <v>AC4227076</v>
          </cell>
          <cell r="V753" t="str">
            <v>철근공</v>
          </cell>
          <cell r="W753" t="str">
            <v>태국</v>
          </cell>
        </row>
        <row r="754">
          <cell r="A754" t="str">
            <v>미치차이</v>
          </cell>
          <cell r="B754" t="str">
            <v>원주시 천매봉길 126-12</v>
          </cell>
          <cell r="D754" t="str">
            <v>010-6567-8199</v>
          </cell>
          <cell r="E754">
            <v>192000</v>
          </cell>
          <cell r="F754" t="str">
            <v/>
          </cell>
          <cell r="G754">
            <v>37</v>
          </cell>
          <cell r="H754" t="str">
            <v/>
          </cell>
          <cell r="I754" t="str">
            <v>MITCHITCHAI MUNGJAN</v>
          </cell>
          <cell r="J754" t="str">
            <v>철근공</v>
          </cell>
          <cell r="K754" t="str">
            <v>나청산팀</v>
          </cell>
          <cell r="L754" t="str">
            <v>1002-855-743908</v>
          </cell>
          <cell r="M754" t="str">
            <v>우리은행</v>
          </cell>
          <cell r="N754" t="str">
            <v>MUNGJAN MITCHITCHAI</v>
          </cell>
          <cell r="O754">
            <v>44540</v>
          </cell>
          <cell r="Q754" t="str">
            <v/>
          </cell>
          <cell r="S754">
            <v>45897</v>
          </cell>
          <cell r="U754" t="str">
            <v>AC2538597</v>
          </cell>
          <cell r="V754" t="str">
            <v>철근공</v>
          </cell>
          <cell r="W754" t="str">
            <v>태국</v>
          </cell>
        </row>
        <row r="755">
          <cell r="A755" t="str">
            <v>다넷</v>
          </cell>
          <cell r="B755" t="str">
            <v>원주시 금불1길9,56-4</v>
          </cell>
          <cell r="D755" t="str">
            <v>010-7256-5110</v>
          </cell>
          <cell r="E755">
            <v>192000</v>
          </cell>
          <cell r="F755" t="str">
            <v/>
          </cell>
          <cell r="G755">
            <v>31</v>
          </cell>
          <cell r="H755" t="str">
            <v/>
          </cell>
          <cell r="I755" t="str">
            <v>THANET SRICHAN</v>
          </cell>
          <cell r="J755" t="str">
            <v>철근공</v>
          </cell>
          <cell r="K755" t="str">
            <v>나청산팀</v>
          </cell>
          <cell r="L755" t="str">
            <v>365-910490-19607</v>
          </cell>
          <cell r="M755" t="str">
            <v>하나은행</v>
          </cell>
          <cell r="N755" t="str">
            <v>THANET SRICHAN</v>
          </cell>
          <cell r="O755">
            <v>43799</v>
          </cell>
          <cell r="Q755" t="str">
            <v/>
          </cell>
          <cell r="S755">
            <v>45897</v>
          </cell>
          <cell r="U755" t="str">
            <v>AB3798637</v>
          </cell>
          <cell r="V755" t="str">
            <v>철근공</v>
          </cell>
          <cell r="W755" t="str">
            <v>태국</v>
          </cell>
        </row>
        <row r="756">
          <cell r="A756" t="str">
            <v>남차이</v>
          </cell>
          <cell r="B756" t="str">
            <v>경기 시흥시 정왕동</v>
          </cell>
          <cell r="D756" t="str">
            <v>010-6708-5999</v>
          </cell>
          <cell r="E756">
            <v>192000</v>
          </cell>
          <cell r="F756" t="str">
            <v/>
          </cell>
          <cell r="G756">
            <v>39</v>
          </cell>
          <cell r="H756" t="str">
            <v/>
          </cell>
          <cell r="I756" t="str">
            <v xml:space="preserve"> NAMCHAI KHAMJANSEE</v>
          </cell>
          <cell r="J756" t="str">
            <v>철근공</v>
          </cell>
          <cell r="K756" t="str">
            <v>나청산팀</v>
          </cell>
          <cell r="L756" t="str">
            <v>398-890727-08707</v>
          </cell>
          <cell r="M756" t="str">
            <v>하나은행</v>
          </cell>
          <cell r="N756" t="str">
            <v>MR NAMCHAI KHAMJANSEE</v>
          </cell>
          <cell r="O756">
            <v>43973</v>
          </cell>
          <cell r="Q756" t="str">
            <v/>
          </cell>
          <cell r="S756">
            <v>45897</v>
          </cell>
          <cell r="U756" t="str">
            <v>AB3776846</v>
          </cell>
          <cell r="V756" t="str">
            <v>철근공</v>
          </cell>
          <cell r="W756" t="str">
            <v>태국</v>
          </cell>
        </row>
        <row r="757">
          <cell r="A757" t="str">
            <v>에카린</v>
          </cell>
          <cell r="B757" t="str">
            <v>원주시 소방서길46-11</v>
          </cell>
          <cell r="D757" t="str">
            <v>010-3303-8122</v>
          </cell>
          <cell r="E757">
            <v>192000</v>
          </cell>
          <cell r="F757" t="str">
            <v/>
          </cell>
          <cell r="G757">
            <v>42</v>
          </cell>
          <cell r="H757" t="str">
            <v/>
          </cell>
          <cell r="I757" t="str">
            <v>EAKARIN JAIJAM</v>
          </cell>
          <cell r="J757" t="str">
            <v>철근공</v>
          </cell>
          <cell r="K757" t="str">
            <v>나청산팀</v>
          </cell>
          <cell r="L757" t="str">
            <v>401-910353-15607</v>
          </cell>
          <cell r="M757" t="str">
            <v>하나은행</v>
          </cell>
          <cell r="N757" t="str">
            <v>JAIJAM EAKARIN</v>
          </cell>
          <cell r="O757">
            <v>43972</v>
          </cell>
          <cell r="Q757" t="str">
            <v/>
          </cell>
          <cell r="S757">
            <v>45897</v>
          </cell>
          <cell r="U757" t="str">
            <v>AB4926786</v>
          </cell>
          <cell r="V757" t="str">
            <v>철근공</v>
          </cell>
          <cell r="W757" t="str">
            <v>태국</v>
          </cell>
        </row>
        <row r="758">
          <cell r="A758" t="str">
            <v>우타이</v>
          </cell>
          <cell r="B758" t="str">
            <v>경기 시흥시 정왕동</v>
          </cell>
          <cell r="D758" t="str">
            <v>010-7513-6509</v>
          </cell>
          <cell r="E758">
            <v>192000</v>
          </cell>
          <cell r="F758" t="str">
            <v/>
          </cell>
          <cell r="G758">
            <v>41</v>
          </cell>
          <cell r="H758" t="str">
            <v/>
          </cell>
          <cell r="I758" t="str">
            <v>UTHAI TADUA</v>
          </cell>
          <cell r="J758" t="str">
            <v>철근공</v>
          </cell>
          <cell r="K758" t="str">
            <v>나청산팀</v>
          </cell>
          <cell r="L758" t="str">
            <v>233-910384-33507</v>
          </cell>
          <cell r="M758" t="str">
            <v>하나은행</v>
          </cell>
          <cell r="N758" t="str">
            <v>TADUA UTHAI</v>
          </cell>
          <cell r="O758">
            <v>43271</v>
          </cell>
          <cell r="Q758" t="str">
            <v/>
          </cell>
          <cell r="S758">
            <v>45897</v>
          </cell>
          <cell r="U758" t="str">
            <v>AA9880865</v>
          </cell>
          <cell r="V758" t="str">
            <v>철근공</v>
          </cell>
          <cell r="W758" t="str">
            <v>태국</v>
          </cell>
        </row>
        <row r="759">
          <cell r="A759" t="str">
            <v>에카차이</v>
          </cell>
          <cell r="B759" t="str">
            <v>원주시 소방서길46-11</v>
          </cell>
          <cell r="D759" t="str">
            <v>010-3273-6668</v>
          </cell>
          <cell r="E759">
            <v>192000</v>
          </cell>
          <cell r="F759" t="str">
            <v/>
          </cell>
          <cell r="G759">
            <v>28</v>
          </cell>
          <cell r="H759" t="str">
            <v/>
          </cell>
          <cell r="I759" t="str">
            <v>AEKKACHAI SINCHAO</v>
          </cell>
          <cell r="J759" t="str">
            <v>철근공</v>
          </cell>
          <cell r="K759" t="str">
            <v>나청산팀</v>
          </cell>
          <cell r="L759" t="str">
            <v>401-910353-08807</v>
          </cell>
          <cell r="M759" t="str">
            <v>하나은행</v>
          </cell>
          <cell r="N759" t="str">
            <v>SINCHAO AEKKACHAI</v>
          </cell>
          <cell r="O759">
            <v>42952</v>
          </cell>
          <cell r="Q759" t="str">
            <v/>
          </cell>
          <cell r="S759">
            <v>45897</v>
          </cell>
          <cell r="U759" t="str">
            <v>AA6738922</v>
          </cell>
          <cell r="V759" t="str">
            <v>철근공</v>
          </cell>
          <cell r="W759" t="str">
            <v>태국</v>
          </cell>
        </row>
        <row r="760">
          <cell r="A760" t="str">
            <v>이티판</v>
          </cell>
          <cell r="B760" t="str">
            <v>원주시 소방서길46-11</v>
          </cell>
          <cell r="D760" t="str">
            <v>010-4442-6563</v>
          </cell>
          <cell r="E760">
            <v>192000</v>
          </cell>
          <cell r="F760" t="str">
            <v/>
          </cell>
          <cell r="G760">
            <v>28</v>
          </cell>
          <cell r="H760" t="str">
            <v/>
          </cell>
          <cell r="I760" t="str">
            <v>ITTHIPHAN SEEDAM</v>
          </cell>
          <cell r="J760" t="str">
            <v>철근공</v>
          </cell>
          <cell r="K760" t="str">
            <v>나청산팀</v>
          </cell>
          <cell r="L760" t="str">
            <v>401-910478-40907</v>
          </cell>
          <cell r="M760" t="str">
            <v>하나은행</v>
          </cell>
          <cell r="N760" t="str">
            <v>SEEDAM ITTHIPHAN</v>
          </cell>
          <cell r="O760">
            <v>44271</v>
          </cell>
          <cell r="Q760" t="str">
            <v/>
          </cell>
          <cell r="S760">
            <v>45897</v>
          </cell>
          <cell r="U760" t="str">
            <v>AB2323367</v>
          </cell>
          <cell r="V760" t="str">
            <v>철근공</v>
          </cell>
          <cell r="W760" t="str">
            <v>태국</v>
          </cell>
        </row>
        <row r="761">
          <cell r="A761" t="str">
            <v>위삭</v>
          </cell>
          <cell r="B761" t="str">
            <v>경기 시흥시 정왕동</v>
          </cell>
          <cell r="D761" t="str">
            <v>010-2850-5899</v>
          </cell>
          <cell r="E761">
            <v>192000</v>
          </cell>
          <cell r="F761" t="str">
            <v/>
          </cell>
          <cell r="G761">
            <v>47</v>
          </cell>
          <cell r="H761" t="str">
            <v/>
          </cell>
          <cell r="I761" t="str">
            <v>WISAK NAKHONSAEN</v>
          </cell>
          <cell r="J761" t="str">
            <v>철근공</v>
          </cell>
          <cell r="K761" t="str">
            <v>나청산팀</v>
          </cell>
          <cell r="L761" t="str">
            <v>358-910125-54607</v>
          </cell>
          <cell r="M761" t="str">
            <v>하나은행</v>
          </cell>
          <cell r="N761" t="str">
            <v>NAKHONSAEN WISAK</v>
          </cell>
          <cell r="O761">
            <v>44035</v>
          </cell>
          <cell r="Q761" t="str">
            <v/>
          </cell>
          <cell r="S761">
            <v>45897</v>
          </cell>
          <cell r="U761" t="str">
            <v>AC2124225</v>
          </cell>
          <cell r="V761" t="str">
            <v>철근공</v>
          </cell>
          <cell r="W761" t="str">
            <v>태국</v>
          </cell>
        </row>
        <row r="762">
          <cell r="A762" t="str">
            <v>위랏</v>
          </cell>
          <cell r="B762" t="str">
            <v>원주시 천매봉길 82-7</v>
          </cell>
          <cell r="D762" t="str">
            <v>010-4315-2447</v>
          </cell>
          <cell r="E762">
            <v>192000</v>
          </cell>
          <cell r="F762" t="str">
            <v/>
          </cell>
          <cell r="G762">
            <v>40</v>
          </cell>
          <cell r="H762" t="str">
            <v/>
          </cell>
          <cell r="I762" t="str">
            <v>WIRAT SAKDEE</v>
          </cell>
          <cell r="J762" t="str">
            <v>철근공</v>
          </cell>
          <cell r="K762" t="str">
            <v>나청산팀</v>
          </cell>
          <cell r="L762" t="str">
            <v>401-890352-98907</v>
          </cell>
          <cell r="M762" t="str">
            <v>하나은행</v>
          </cell>
          <cell r="N762" t="str">
            <v>SAKDEE WIRAT</v>
          </cell>
          <cell r="O762">
            <v>42798</v>
          </cell>
          <cell r="Q762" t="str">
            <v/>
          </cell>
          <cell r="S762">
            <v>45897</v>
          </cell>
          <cell r="U762" t="str">
            <v>AB1772286</v>
          </cell>
          <cell r="V762" t="str">
            <v>철근공</v>
          </cell>
          <cell r="W762" t="str">
            <v>태국</v>
          </cell>
        </row>
        <row r="763">
          <cell r="A763" t="str">
            <v>우띠차이</v>
          </cell>
          <cell r="B763" t="str">
            <v>원주시 소방서길46-11</v>
          </cell>
          <cell r="D763" t="str">
            <v>010-7215-1588</v>
          </cell>
          <cell r="E763">
            <v>192000</v>
          </cell>
          <cell r="F763" t="str">
            <v/>
          </cell>
          <cell r="G763">
            <v>40</v>
          </cell>
          <cell r="H763" t="str">
            <v/>
          </cell>
          <cell r="I763" t="str">
            <v>WUTTICHAI TEMPIMA</v>
          </cell>
          <cell r="J763" t="str">
            <v>철근공</v>
          </cell>
          <cell r="K763" t="str">
            <v>나청산팀</v>
          </cell>
          <cell r="L763" t="str">
            <v>401-910389-07107</v>
          </cell>
          <cell r="M763" t="str">
            <v>하나은행</v>
          </cell>
          <cell r="N763" t="str">
            <v>TEMPIMAI WUTTICHAI</v>
          </cell>
          <cell r="O763">
            <v>43437</v>
          </cell>
          <cell r="Q763" t="str">
            <v/>
          </cell>
          <cell r="S763">
            <v>45897</v>
          </cell>
          <cell r="U763" t="str">
            <v>AC7632074</v>
          </cell>
          <cell r="V763" t="str">
            <v>철근공</v>
          </cell>
          <cell r="W763" t="str">
            <v>태국</v>
          </cell>
        </row>
        <row r="764">
          <cell r="A764" t="str">
            <v>작카린</v>
          </cell>
          <cell r="B764" t="str">
            <v>원주시 남원로442번길7</v>
          </cell>
          <cell r="D764" t="str">
            <v>010-8089-0886</v>
          </cell>
          <cell r="E764">
            <v>192000</v>
          </cell>
          <cell r="F764" t="str">
            <v/>
          </cell>
          <cell r="G764">
            <v>42</v>
          </cell>
          <cell r="H764" t="str">
            <v/>
          </cell>
          <cell r="I764" t="str">
            <v>JAKKRARIN NONSIRI</v>
          </cell>
          <cell r="J764" t="str">
            <v>철근공</v>
          </cell>
          <cell r="K764" t="str">
            <v>나청산팀</v>
          </cell>
          <cell r="L764" t="str">
            <v>398-910532-35007</v>
          </cell>
          <cell r="M764" t="str">
            <v>하나은행</v>
          </cell>
          <cell r="N764" t="str">
            <v>NONSIRI JAKKRARIN</v>
          </cell>
          <cell r="O764">
            <v>42797</v>
          </cell>
          <cell r="Q764" t="str">
            <v/>
          </cell>
          <cell r="S764">
            <v>45897</v>
          </cell>
          <cell r="U764" t="str">
            <v>AC7598333</v>
          </cell>
          <cell r="V764" t="str">
            <v>철근공</v>
          </cell>
          <cell r="W764" t="str">
            <v>태국</v>
          </cell>
        </row>
        <row r="765">
          <cell r="A765" t="str">
            <v>짜라윗</v>
          </cell>
          <cell r="B765" t="str">
            <v>경기 시흥시 정왕동</v>
          </cell>
          <cell r="D765" t="str">
            <v>010-8256-8590</v>
          </cell>
          <cell r="E765">
            <v>192000</v>
          </cell>
          <cell r="F765" t="str">
            <v/>
          </cell>
          <cell r="G765">
            <v>27</v>
          </cell>
          <cell r="H765" t="str">
            <v/>
          </cell>
          <cell r="I765" t="str">
            <v>CHARUWIT SAECHU</v>
          </cell>
          <cell r="J765" t="str">
            <v>철근공</v>
          </cell>
          <cell r="K765" t="str">
            <v>나청산팀</v>
          </cell>
          <cell r="L765" t="str">
            <v>401-910335-37207</v>
          </cell>
          <cell r="M765" t="str">
            <v>하나은행</v>
          </cell>
          <cell r="N765" t="str">
            <v>SAECHU CHARUWIT</v>
          </cell>
          <cell r="O765">
            <v>42929</v>
          </cell>
          <cell r="Q765" t="str">
            <v/>
          </cell>
          <cell r="S765">
            <v>45897</v>
          </cell>
          <cell r="U765" t="str">
            <v>AA7137912</v>
          </cell>
          <cell r="V765" t="str">
            <v>철근공</v>
          </cell>
          <cell r="W765" t="str">
            <v>태국</v>
          </cell>
        </row>
        <row r="766">
          <cell r="A766" t="str">
            <v>피야낫</v>
          </cell>
          <cell r="B766" t="str">
            <v>원주시 소방서길46-11</v>
          </cell>
          <cell r="D766" t="str">
            <v>010-2619-8132</v>
          </cell>
          <cell r="E766">
            <v>192000</v>
          </cell>
          <cell r="F766" t="str">
            <v/>
          </cell>
          <cell r="G766">
            <v>36</v>
          </cell>
          <cell r="H766" t="str">
            <v/>
          </cell>
          <cell r="I766" t="str">
            <v>PIYANUT SRISOEM</v>
          </cell>
          <cell r="J766" t="str">
            <v>철근공</v>
          </cell>
          <cell r="K766" t="str">
            <v>나청산팀</v>
          </cell>
          <cell r="L766" t="str">
            <v>312-0187-5907-21</v>
          </cell>
          <cell r="M766" t="str">
            <v>농협은행</v>
          </cell>
          <cell r="N766" t="str">
            <v>SRISOEM PIYANUT</v>
          </cell>
          <cell r="O766">
            <v>43711</v>
          </cell>
          <cell r="Q766" t="str">
            <v/>
          </cell>
          <cell r="S766">
            <v>45897</v>
          </cell>
          <cell r="U766" t="str">
            <v>AC7489097</v>
          </cell>
          <cell r="V766" t="str">
            <v>철근공</v>
          </cell>
          <cell r="W766" t="str">
            <v>태국</v>
          </cell>
        </row>
        <row r="767">
          <cell r="A767" t="str">
            <v>프라딧</v>
          </cell>
          <cell r="B767" t="str">
            <v>안산시 단원구 원곡동743-8</v>
          </cell>
          <cell r="D767" t="str">
            <v>010-6314-1999</v>
          </cell>
          <cell r="E767">
            <v>192000</v>
          </cell>
          <cell r="F767" t="str">
            <v/>
          </cell>
          <cell r="G767">
            <v>37</v>
          </cell>
          <cell r="H767" t="str">
            <v/>
          </cell>
          <cell r="I767" t="str">
            <v>PRADIT INTHISEN</v>
          </cell>
          <cell r="J767" t="str">
            <v>철근공</v>
          </cell>
          <cell r="K767" t="str">
            <v>나청산팀</v>
          </cell>
          <cell r="L767" t="str">
            <v>1002-062-508602</v>
          </cell>
          <cell r="M767" t="str">
            <v>우리은행</v>
          </cell>
          <cell r="N767" t="str">
            <v>INTHISEN PRADIT</v>
          </cell>
          <cell r="O767">
            <v>43317</v>
          </cell>
          <cell r="Q767" t="str">
            <v/>
          </cell>
          <cell r="S767">
            <v>45897</v>
          </cell>
          <cell r="U767" t="str">
            <v>AC2251949</v>
          </cell>
          <cell r="V767" t="str">
            <v>철근공</v>
          </cell>
          <cell r="W767" t="str">
            <v>태국</v>
          </cell>
        </row>
        <row r="768">
          <cell r="A768" t="str">
            <v>키티칸</v>
          </cell>
          <cell r="B768" t="str">
            <v>원주시 판부면 매봉길 36-9</v>
          </cell>
          <cell r="D768" t="str">
            <v>010-7615-0353</v>
          </cell>
          <cell r="E768">
            <v>192000</v>
          </cell>
          <cell r="F768" t="str">
            <v/>
          </cell>
          <cell r="G768">
            <v>31</v>
          </cell>
          <cell r="H768" t="str">
            <v/>
          </cell>
          <cell r="I768" t="str">
            <v>KITTIKARN SAOMAN</v>
          </cell>
          <cell r="J768" t="str">
            <v>철근공</v>
          </cell>
          <cell r="K768" t="str">
            <v>나청산팀</v>
          </cell>
          <cell r="L768" t="str">
            <v>1002-062-163919</v>
          </cell>
          <cell r="M768" t="str">
            <v>우리은행</v>
          </cell>
          <cell r="N768" t="str">
            <v>SAOMAN KITTIKARN</v>
          </cell>
          <cell r="O768">
            <v>40977</v>
          </cell>
          <cell r="Q768" t="str">
            <v/>
          </cell>
          <cell r="S768">
            <v>45897</v>
          </cell>
          <cell r="U768" t="str">
            <v>AC2125280</v>
          </cell>
          <cell r="V768" t="str">
            <v>철근공</v>
          </cell>
          <cell r="W768" t="str">
            <v>태국</v>
          </cell>
        </row>
        <row r="769">
          <cell r="A769" t="str">
            <v>나타싯</v>
          </cell>
          <cell r="C769" t="str">
            <v>821217-5</v>
          </cell>
          <cell r="D769" t="str">
            <v>010-9552-8889</v>
          </cell>
          <cell r="E769">
            <v>192000</v>
          </cell>
          <cell r="F769" t="str">
            <v>남</v>
          </cell>
          <cell r="G769">
            <v>45</v>
          </cell>
          <cell r="H769" t="str">
            <v>외국인</v>
          </cell>
          <cell r="I769" t="str">
            <v>MR. NATTASIT</v>
          </cell>
          <cell r="J769" t="str">
            <v>철근공</v>
          </cell>
          <cell r="K769" t="str">
            <v>나청산팀</v>
          </cell>
          <cell r="O769">
            <v>44400</v>
          </cell>
          <cell r="Q769" t="str">
            <v/>
          </cell>
          <cell r="R769">
            <v>45950</v>
          </cell>
          <cell r="S769">
            <v>45950</v>
          </cell>
          <cell r="T769">
            <v>45950</v>
          </cell>
          <cell r="U769" t="str">
            <v>AC2707362</v>
          </cell>
          <cell r="V769" t="str">
            <v>철근공</v>
          </cell>
          <cell r="W769" t="str">
            <v>태국</v>
          </cell>
        </row>
        <row r="770">
          <cell r="A770" t="str">
            <v>니란</v>
          </cell>
          <cell r="B770" t="str">
            <v>원주시 한지공원길 25-13</v>
          </cell>
          <cell r="C770" t="str">
            <v>860116-5</v>
          </cell>
          <cell r="D770" t="str">
            <v>010-3392-4888</v>
          </cell>
          <cell r="E770">
            <v>192000</v>
          </cell>
          <cell r="F770" t="str">
            <v>남</v>
          </cell>
          <cell r="G770">
            <v>41</v>
          </cell>
          <cell r="H770" t="str">
            <v>외국인</v>
          </cell>
          <cell r="I770" t="str">
            <v>MR.NIRAN</v>
          </cell>
          <cell r="J770" t="str">
            <v>철근공</v>
          </cell>
          <cell r="K770" t="str">
            <v>나청산팀</v>
          </cell>
          <cell r="O770">
            <v>44730</v>
          </cell>
          <cell r="Q770" t="str">
            <v/>
          </cell>
          <cell r="R770">
            <v>45950</v>
          </cell>
          <cell r="S770">
            <v>45950</v>
          </cell>
          <cell r="T770">
            <v>45950</v>
          </cell>
          <cell r="U770" t="str">
            <v>AC2576301</v>
          </cell>
          <cell r="V770" t="str">
            <v>철근공</v>
          </cell>
          <cell r="W770" t="str">
            <v>태국</v>
          </cell>
        </row>
        <row r="771">
          <cell r="A771" t="str">
            <v>감파이</v>
          </cell>
          <cell r="C771" t="str">
            <v>911118-5</v>
          </cell>
          <cell r="D771" t="str">
            <v>010-6787-0967</v>
          </cell>
          <cell r="E771">
            <v>192000</v>
          </cell>
          <cell r="F771" t="str">
            <v>남</v>
          </cell>
          <cell r="G771">
            <v>36</v>
          </cell>
          <cell r="H771" t="str">
            <v>외국인</v>
          </cell>
          <cell r="I771" t="str">
            <v>CHAISEE KAMPAI</v>
          </cell>
          <cell r="J771" t="str">
            <v>철근공</v>
          </cell>
          <cell r="K771" t="str">
            <v>나청산팀</v>
          </cell>
          <cell r="O771">
            <v>44540</v>
          </cell>
          <cell r="Q771" t="str">
            <v/>
          </cell>
          <cell r="R771">
            <v>45953</v>
          </cell>
          <cell r="S771">
            <v>45953</v>
          </cell>
          <cell r="T771">
            <v>45953</v>
          </cell>
          <cell r="U771" t="str">
            <v>AC4609773</v>
          </cell>
          <cell r="V771" t="str">
            <v>철근공</v>
          </cell>
          <cell r="W771" t="str">
            <v>태국</v>
          </cell>
        </row>
        <row r="772">
          <cell r="A772" t="str">
            <v>카샘</v>
          </cell>
          <cell r="C772" t="str">
            <v>000117-5</v>
          </cell>
          <cell r="D772" t="str">
            <v>010-7203-2652</v>
          </cell>
          <cell r="E772">
            <v>192000</v>
          </cell>
          <cell r="F772" t="str">
            <v>남</v>
          </cell>
          <cell r="G772">
            <v>27</v>
          </cell>
          <cell r="H772" t="str">
            <v>외국인</v>
          </cell>
          <cell r="I772" t="str">
            <v>ASANA MR.KASEM</v>
          </cell>
          <cell r="J772" t="str">
            <v>철근공</v>
          </cell>
          <cell r="K772" t="str">
            <v>나청산팀</v>
          </cell>
          <cell r="O772">
            <v>43566</v>
          </cell>
          <cell r="R772">
            <v>46014</v>
          </cell>
          <cell r="S772">
            <v>46014</v>
          </cell>
          <cell r="T772">
            <v>46014</v>
          </cell>
          <cell r="U772" t="str">
            <v>AC3348911</v>
          </cell>
          <cell r="V772" t="str">
            <v>철근공</v>
          </cell>
          <cell r="W772" t="str">
            <v>태국</v>
          </cell>
        </row>
        <row r="773">
          <cell r="F773" t="str">
            <v/>
          </cell>
          <cell r="G773" t="str">
            <v/>
          </cell>
          <cell r="H773" t="str">
            <v/>
          </cell>
          <cell r="Q773" t="str">
            <v/>
          </cell>
        </row>
        <row r="774">
          <cell r="F774" t="str">
            <v/>
          </cell>
          <cell r="G774" t="str">
            <v/>
          </cell>
          <cell r="H774" t="str">
            <v/>
          </cell>
          <cell r="Q774" t="str">
            <v/>
          </cell>
        </row>
        <row r="775">
          <cell r="F775" t="str">
            <v/>
          </cell>
          <cell r="G775" t="str">
            <v/>
          </cell>
          <cell r="H775" t="str">
            <v/>
          </cell>
          <cell r="Q775" t="str">
            <v/>
          </cell>
        </row>
        <row r="776">
          <cell r="F776" t="str">
            <v/>
          </cell>
          <cell r="G776" t="str">
            <v/>
          </cell>
          <cell r="H776" t="str">
            <v/>
          </cell>
          <cell r="Q776" t="str">
            <v/>
          </cell>
        </row>
        <row r="777">
          <cell r="A777" t="str">
            <v>바하</v>
          </cell>
          <cell r="B777" t="str">
            <v>수원시 권선구 세류동97-5,304호</v>
          </cell>
          <cell r="D777" t="str">
            <v>010-6537-5593</v>
          </cell>
          <cell r="E777">
            <v>192000</v>
          </cell>
          <cell r="F777" t="str">
            <v/>
          </cell>
          <cell r="G777" t="str">
            <v/>
          </cell>
          <cell r="H777" t="str">
            <v/>
          </cell>
          <cell r="I777" t="str">
            <v>NGUYEN BA HA</v>
          </cell>
          <cell r="J777" t="str">
            <v>철근공</v>
          </cell>
          <cell r="K777" t="str">
            <v>바하팀</v>
          </cell>
          <cell r="L777" t="str">
            <v>705-911139-44607</v>
          </cell>
          <cell r="M777" t="str">
            <v>하나은행</v>
          </cell>
          <cell r="N777" t="str">
            <v>NGUYEN BAHA</v>
          </cell>
          <cell r="O777">
            <v>42683</v>
          </cell>
          <cell r="Q777" t="str">
            <v/>
          </cell>
          <cell r="S777">
            <v>45902</v>
          </cell>
          <cell r="T777">
            <v>45902</v>
          </cell>
          <cell r="U777" t="str">
            <v>B7104531</v>
          </cell>
          <cell r="V777" t="str">
            <v>철근공</v>
          </cell>
          <cell r="W777" t="str">
            <v>베트남</v>
          </cell>
        </row>
        <row r="778">
          <cell r="A778" t="str">
            <v>에카폴</v>
          </cell>
          <cell r="B778" t="str">
            <v>경기 시흥시 정왕동</v>
          </cell>
          <cell r="D778" t="str">
            <v>010-3086-1562</v>
          </cell>
          <cell r="E778">
            <v>192000</v>
          </cell>
          <cell r="F778" t="str">
            <v/>
          </cell>
          <cell r="G778">
            <v>40</v>
          </cell>
          <cell r="H778" t="str">
            <v/>
          </cell>
          <cell r="I778" t="str">
            <v>EAKPOL YOMPUT</v>
          </cell>
          <cell r="J778" t="str">
            <v>철근공</v>
          </cell>
          <cell r="K778" t="str">
            <v>바하팀</v>
          </cell>
          <cell r="O778">
            <v>44001</v>
          </cell>
          <cell r="Q778" t="str">
            <v/>
          </cell>
          <cell r="S778">
            <v>45902</v>
          </cell>
          <cell r="T778">
            <v>45902</v>
          </cell>
          <cell r="U778" t="str">
            <v>AB4135602</v>
          </cell>
          <cell r="V778" t="str">
            <v>철근공</v>
          </cell>
          <cell r="W778" t="str">
            <v>베트남</v>
          </cell>
        </row>
        <row r="779">
          <cell r="A779" t="str">
            <v>가오후이</v>
          </cell>
          <cell r="E779">
            <v>192000</v>
          </cell>
          <cell r="F779" t="str">
            <v/>
          </cell>
          <cell r="G779" t="str">
            <v/>
          </cell>
          <cell r="H779" t="str">
            <v/>
          </cell>
          <cell r="I779" t="str">
            <v>PHAM CAO HUY</v>
          </cell>
          <cell r="J779" t="str">
            <v>철근공</v>
          </cell>
          <cell r="K779" t="str">
            <v>바하팀</v>
          </cell>
          <cell r="O779">
            <v>44635</v>
          </cell>
          <cell r="Q779" t="str">
            <v/>
          </cell>
          <cell r="S779">
            <v>45902</v>
          </cell>
          <cell r="T779">
            <v>45902</v>
          </cell>
          <cell r="U779" t="str">
            <v>C9615096</v>
          </cell>
          <cell r="V779" t="str">
            <v>철근공</v>
          </cell>
          <cell r="W779" t="str">
            <v>베트남</v>
          </cell>
        </row>
        <row r="780">
          <cell r="A780" t="str">
            <v>잔넉득</v>
          </cell>
          <cell r="D780" t="str">
            <v>010-7938-7678</v>
          </cell>
          <cell r="E780">
            <v>192000</v>
          </cell>
          <cell r="F780" t="str">
            <v/>
          </cell>
          <cell r="G780" t="str">
            <v/>
          </cell>
          <cell r="H780" t="str">
            <v/>
          </cell>
          <cell r="I780" t="str">
            <v>TRAN NGOC DUC</v>
          </cell>
          <cell r="J780" t="str">
            <v>철근공</v>
          </cell>
          <cell r="K780" t="str">
            <v>바하팀</v>
          </cell>
          <cell r="O780">
            <v>44272</v>
          </cell>
          <cell r="Q780" t="str">
            <v/>
          </cell>
          <cell r="S780">
            <v>45902</v>
          </cell>
          <cell r="T780">
            <v>45902</v>
          </cell>
          <cell r="U780" t="str">
            <v>C4666993</v>
          </cell>
          <cell r="V780" t="str">
            <v>철근공</v>
          </cell>
          <cell r="W780" t="str">
            <v>베트남</v>
          </cell>
        </row>
        <row r="781">
          <cell r="A781" t="str">
            <v>레반낫</v>
          </cell>
          <cell r="E781">
            <v>192000</v>
          </cell>
          <cell r="F781" t="str">
            <v/>
          </cell>
          <cell r="G781" t="str">
            <v/>
          </cell>
          <cell r="H781" t="str">
            <v/>
          </cell>
          <cell r="I781" t="str">
            <v>LE VAN NHAT</v>
          </cell>
          <cell r="J781" t="str">
            <v>철근공</v>
          </cell>
          <cell r="K781" t="str">
            <v>바하팀</v>
          </cell>
          <cell r="O781">
            <v>44998</v>
          </cell>
          <cell r="Q781" t="str">
            <v/>
          </cell>
          <cell r="S781">
            <v>45902</v>
          </cell>
          <cell r="T781">
            <v>45902</v>
          </cell>
          <cell r="U781" t="str">
            <v>C7527989</v>
          </cell>
          <cell r="V781" t="str">
            <v>철근공</v>
          </cell>
          <cell r="W781" t="str">
            <v>베트남</v>
          </cell>
        </row>
        <row r="782">
          <cell r="A782" t="str">
            <v>응옥선</v>
          </cell>
          <cell r="E782">
            <v>192000</v>
          </cell>
          <cell r="F782" t="str">
            <v/>
          </cell>
          <cell r="G782" t="str">
            <v/>
          </cell>
          <cell r="H782" t="str">
            <v/>
          </cell>
          <cell r="I782" t="str">
            <v>NGUYEN NGOC SON</v>
          </cell>
          <cell r="J782" t="str">
            <v>철근공</v>
          </cell>
          <cell r="K782" t="str">
            <v>바하팀</v>
          </cell>
          <cell r="O782">
            <v>44907</v>
          </cell>
          <cell r="Q782" t="str">
            <v/>
          </cell>
          <cell r="S782">
            <v>45902</v>
          </cell>
          <cell r="T782">
            <v>45902</v>
          </cell>
          <cell r="U782" t="str">
            <v>P00878557</v>
          </cell>
          <cell r="V782" t="str">
            <v>철근공</v>
          </cell>
          <cell r="W782" t="str">
            <v>베트남</v>
          </cell>
        </row>
        <row r="783">
          <cell r="A783" t="str">
            <v>반튀</v>
          </cell>
          <cell r="D783" t="str">
            <v>010-8372-2869</v>
          </cell>
          <cell r="E783">
            <v>192000</v>
          </cell>
          <cell r="F783" t="str">
            <v/>
          </cell>
          <cell r="G783" t="str">
            <v/>
          </cell>
          <cell r="H783" t="str">
            <v/>
          </cell>
          <cell r="I783" t="str">
            <v>VAN THUY</v>
          </cell>
          <cell r="J783" t="str">
            <v>철근공</v>
          </cell>
          <cell r="K783" t="str">
            <v>바하팀</v>
          </cell>
          <cell r="L783" t="str">
            <v>233-910706-93407</v>
          </cell>
          <cell r="M783" t="str">
            <v>하나은행</v>
          </cell>
          <cell r="N783" t="str">
            <v>BUI VAN THUY</v>
          </cell>
          <cell r="O783">
            <v>44858</v>
          </cell>
          <cell r="Q783" t="str">
            <v/>
          </cell>
          <cell r="S783">
            <v>45902</v>
          </cell>
          <cell r="T783">
            <v>45902</v>
          </cell>
          <cell r="U783" t="str">
            <v>Q00604719</v>
          </cell>
          <cell r="V783" t="str">
            <v>철근공</v>
          </cell>
          <cell r="W783" t="str">
            <v>베트남</v>
          </cell>
        </row>
        <row r="784">
          <cell r="A784" t="str">
            <v>웬반둥</v>
          </cell>
          <cell r="D784" t="str">
            <v>010-5570-6889</v>
          </cell>
          <cell r="E784">
            <v>192000</v>
          </cell>
          <cell r="F784" t="str">
            <v/>
          </cell>
          <cell r="G784" t="str">
            <v/>
          </cell>
          <cell r="H784" t="str">
            <v/>
          </cell>
          <cell r="I784" t="str">
            <v>NGUYEN VAN DUNG</v>
          </cell>
          <cell r="J784" t="str">
            <v>철근공</v>
          </cell>
          <cell r="K784" t="str">
            <v>바하팀</v>
          </cell>
          <cell r="L784" t="str">
            <v>705-911197-20107</v>
          </cell>
          <cell r="M784" t="str">
            <v>하나은행</v>
          </cell>
          <cell r="N784" t="str">
            <v>NGUYEN VAN DUNG</v>
          </cell>
          <cell r="O784">
            <v>43301</v>
          </cell>
          <cell r="Q784" t="str">
            <v/>
          </cell>
          <cell r="S784">
            <v>45902</v>
          </cell>
          <cell r="T784">
            <v>45902</v>
          </cell>
          <cell r="U784" t="str">
            <v>C2762720</v>
          </cell>
          <cell r="V784" t="str">
            <v>철근공</v>
          </cell>
          <cell r="W784" t="str">
            <v>베트남</v>
          </cell>
        </row>
        <row r="785">
          <cell r="A785" t="str">
            <v>수안선</v>
          </cell>
          <cell r="B785" t="str">
            <v>수원시 권선구 세류동97-5</v>
          </cell>
          <cell r="D785" t="str">
            <v>010-8025-9662</v>
          </cell>
          <cell r="E785">
            <v>192000</v>
          </cell>
          <cell r="F785" t="str">
            <v/>
          </cell>
          <cell r="G785" t="str">
            <v/>
          </cell>
          <cell r="H785" t="str">
            <v/>
          </cell>
          <cell r="I785" t="str">
            <v>PHUNG XUAN SON</v>
          </cell>
          <cell r="J785" t="str">
            <v>철근공</v>
          </cell>
          <cell r="K785" t="str">
            <v>바하팀</v>
          </cell>
          <cell r="L785" t="str">
            <v>302-1383-6234-71</v>
          </cell>
          <cell r="M785" t="str">
            <v>농협은행</v>
          </cell>
          <cell r="N785" t="str">
            <v>PHUNG XUAN SON</v>
          </cell>
          <cell r="O785">
            <v>43977</v>
          </cell>
          <cell r="Q785" t="str">
            <v/>
          </cell>
          <cell r="S785">
            <v>45902</v>
          </cell>
          <cell r="T785">
            <v>45902</v>
          </cell>
          <cell r="U785" t="str">
            <v>C5676824</v>
          </cell>
          <cell r="V785" t="str">
            <v>철근공</v>
          </cell>
          <cell r="W785" t="str">
            <v>베트남</v>
          </cell>
        </row>
        <row r="786">
          <cell r="A786" t="str">
            <v>황담</v>
          </cell>
          <cell r="D786" t="str">
            <v>010-8195-6199</v>
          </cell>
          <cell r="E786">
            <v>192000</v>
          </cell>
          <cell r="F786" t="str">
            <v/>
          </cell>
          <cell r="G786" t="str">
            <v/>
          </cell>
          <cell r="H786" t="str">
            <v/>
          </cell>
          <cell r="I786" t="str">
            <v>HOANG TAM</v>
          </cell>
          <cell r="J786" t="str">
            <v>철근공</v>
          </cell>
          <cell r="K786" t="str">
            <v>바하팀</v>
          </cell>
          <cell r="L786" t="str">
            <v>717-910859-79307</v>
          </cell>
          <cell r="M786" t="str">
            <v>하나은행</v>
          </cell>
          <cell r="N786" t="str">
            <v>HOANG TAM</v>
          </cell>
          <cell r="O786">
            <v>44468</v>
          </cell>
          <cell r="Q786" t="str">
            <v/>
          </cell>
          <cell r="S786">
            <v>45902</v>
          </cell>
          <cell r="T786">
            <v>45902</v>
          </cell>
          <cell r="U786" t="str">
            <v>P01631604</v>
          </cell>
          <cell r="V786" t="str">
            <v>철근공</v>
          </cell>
          <cell r="W786" t="str">
            <v>베트남</v>
          </cell>
        </row>
        <row r="787">
          <cell r="A787" t="str">
            <v>웬딘다이</v>
          </cell>
          <cell r="D787" t="str">
            <v>010-7542-1401</v>
          </cell>
          <cell r="E787">
            <v>192000</v>
          </cell>
          <cell r="F787" t="str">
            <v/>
          </cell>
          <cell r="G787" t="str">
            <v/>
          </cell>
          <cell r="H787" t="str">
            <v/>
          </cell>
          <cell r="I787" t="str">
            <v>NGUYEN DINH TAI</v>
          </cell>
          <cell r="J787" t="str">
            <v>철근공</v>
          </cell>
          <cell r="K787" t="str">
            <v>바하팀</v>
          </cell>
          <cell r="O787">
            <v>44791</v>
          </cell>
          <cell r="Q787" t="str">
            <v/>
          </cell>
          <cell r="S787">
            <v>45902</v>
          </cell>
          <cell r="T787">
            <v>45902</v>
          </cell>
          <cell r="U787" t="str">
            <v>C9859549</v>
          </cell>
          <cell r="V787" t="str">
            <v>철근공</v>
          </cell>
          <cell r="W787" t="str">
            <v>베트남</v>
          </cell>
        </row>
        <row r="788">
          <cell r="A788" t="str">
            <v>마이반지엔</v>
          </cell>
          <cell r="B788" t="str">
            <v>수원시 권선구 세류동97-5</v>
          </cell>
          <cell r="C788" t="str">
            <v>020320-5</v>
          </cell>
          <cell r="D788" t="str">
            <v>010-2626-3868</v>
          </cell>
          <cell r="E788">
            <v>193000</v>
          </cell>
          <cell r="F788" t="str">
            <v>남</v>
          </cell>
          <cell r="G788">
            <v>25</v>
          </cell>
          <cell r="H788" t="str">
            <v>외국인</v>
          </cell>
          <cell r="I788" t="str">
            <v>MAI VAN CHIEN</v>
          </cell>
          <cell r="J788" t="str">
            <v>철근공</v>
          </cell>
          <cell r="K788" t="str">
            <v>바하팀</v>
          </cell>
          <cell r="L788" t="str">
            <v>705-911247-00307</v>
          </cell>
          <cell r="M788" t="str">
            <v>하나은행</v>
          </cell>
          <cell r="N788" t="str">
            <v>MAI VAN CHIEN</v>
          </cell>
          <cell r="O788">
            <v>44481</v>
          </cell>
          <cell r="Q788" t="str">
            <v/>
          </cell>
          <cell r="S788">
            <v>45902</v>
          </cell>
          <cell r="T788">
            <v>45902</v>
          </cell>
          <cell r="U788" t="str">
            <v>C9537965</v>
          </cell>
          <cell r="V788" t="str">
            <v>철근공</v>
          </cell>
          <cell r="W788" t="str">
            <v>베트남</v>
          </cell>
        </row>
        <row r="789">
          <cell r="A789" t="str">
            <v>레반환</v>
          </cell>
          <cell r="B789" t="str">
            <v>수원시 권선구 세류동97-5</v>
          </cell>
          <cell r="C789" t="str">
            <v>010403-5</v>
          </cell>
          <cell r="D789" t="str">
            <v>010-7908-3286</v>
          </cell>
          <cell r="E789">
            <v>193000</v>
          </cell>
          <cell r="F789" t="str">
            <v>남</v>
          </cell>
          <cell r="G789">
            <v>26</v>
          </cell>
          <cell r="H789" t="str">
            <v>외국인</v>
          </cell>
          <cell r="I789" t="str">
            <v>LE VAN HOAN</v>
          </cell>
          <cell r="J789" t="str">
            <v>철근공</v>
          </cell>
          <cell r="K789" t="str">
            <v>바하팀</v>
          </cell>
          <cell r="O789">
            <v>44484</v>
          </cell>
          <cell r="Q789" t="str">
            <v/>
          </cell>
          <cell r="S789">
            <v>45902</v>
          </cell>
          <cell r="T789">
            <v>45902</v>
          </cell>
          <cell r="U789" t="str">
            <v>C7870586</v>
          </cell>
          <cell r="V789" t="str">
            <v>철근공</v>
          </cell>
          <cell r="W789" t="str">
            <v>베트남</v>
          </cell>
        </row>
        <row r="790">
          <cell r="A790" t="str">
            <v>마지상</v>
          </cell>
          <cell r="B790" t="str">
            <v>수원시 권선구 세류동97-5</v>
          </cell>
          <cell r="C790" t="str">
            <v>980130-5</v>
          </cell>
          <cell r="D790" t="str">
            <v>010-3248-3001</v>
          </cell>
          <cell r="E790">
            <v>193000</v>
          </cell>
          <cell r="F790" t="str">
            <v>남</v>
          </cell>
          <cell r="G790">
            <v>29</v>
          </cell>
          <cell r="H790" t="str">
            <v>외국인</v>
          </cell>
          <cell r="I790" t="str">
            <v>MAI CHISANG</v>
          </cell>
          <cell r="J790" t="str">
            <v>철근공</v>
          </cell>
          <cell r="K790" t="str">
            <v>바하팀</v>
          </cell>
          <cell r="L790" t="str">
            <v>519-910037-99507</v>
          </cell>
          <cell r="M790" t="str">
            <v>하나은행</v>
          </cell>
          <cell r="N790" t="str">
            <v>MAI CHI SANG</v>
          </cell>
          <cell r="O790">
            <v>43575</v>
          </cell>
          <cell r="Q790" t="str">
            <v/>
          </cell>
          <cell r="S790">
            <v>45902</v>
          </cell>
          <cell r="T790">
            <v>45902</v>
          </cell>
          <cell r="U790" t="str">
            <v>N2179745</v>
          </cell>
          <cell r="V790" t="str">
            <v>철근공</v>
          </cell>
          <cell r="W790" t="str">
            <v>베트남</v>
          </cell>
        </row>
        <row r="791">
          <cell r="A791" t="str">
            <v>짠반지앙</v>
          </cell>
          <cell r="B791" t="str">
            <v>강릉시 관대길36번길8</v>
          </cell>
          <cell r="D791" t="str">
            <v>010-2602-1288</v>
          </cell>
          <cell r="E791">
            <v>192000</v>
          </cell>
          <cell r="F791" t="str">
            <v/>
          </cell>
          <cell r="G791" t="str">
            <v/>
          </cell>
          <cell r="H791" t="str">
            <v/>
          </cell>
          <cell r="I791" t="str">
            <v>TRAN VAN GIANG</v>
          </cell>
          <cell r="J791" t="str">
            <v>철근공</v>
          </cell>
          <cell r="K791" t="str">
            <v>바하팀</v>
          </cell>
          <cell r="L791" t="str">
            <v>791-911107-97407</v>
          </cell>
          <cell r="M791" t="str">
            <v>하나은행</v>
          </cell>
          <cell r="N791" t="str">
            <v>TRAN VAN GIANG</v>
          </cell>
          <cell r="O791">
            <v>45276</v>
          </cell>
          <cell r="Q791" t="str">
            <v/>
          </cell>
          <cell r="S791">
            <v>45903</v>
          </cell>
          <cell r="T791">
            <v>45903</v>
          </cell>
          <cell r="U791" t="str">
            <v>E008550945</v>
          </cell>
          <cell r="V791" t="str">
            <v>철근공</v>
          </cell>
          <cell r="W791" t="str">
            <v>베트남</v>
          </cell>
        </row>
        <row r="792">
          <cell r="A792" t="str">
            <v>양남</v>
          </cell>
          <cell r="B792" t="str">
            <v>강릉시 관대길36번길8</v>
          </cell>
          <cell r="C792" t="str">
            <v>030731-5</v>
          </cell>
          <cell r="D792" t="str">
            <v>010-6552-6809</v>
          </cell>
          <cell r="E792">
            <v>193000</v>
          </cell>
          <cell r="F792" t="str">
            <v>남</v>
          </cell>
          <cell r="G792">
            <v>24</v>
          </cell>
          <cell r="H792" t="str">
            <v>외국인</v>
          </cell>
          <cell r="I792" t="str">
            <v>TRAN GIANG NAM</v>
          </cell>
          <cell r="J792" t="str">
            <v>철근공</v>
          </cell>
          <cell r="K792" t="str">
            <v>바하팀</v>
          </cell>
          <cell r="L792" t="str">
            <v>702-911135-79207</v>
          </cell>
          <cell r="M792" t="str">
            <v>하나은행</v>
          </cell>
          <cell r="N792" t="str">
            <v>TRAN GIANG NAM</v>
          </cell>
          <cell r="O792">
            <v>45112</v>
          </cell>
          <cell r="Q792" t="str">
            <v/>
          </cell>
          <cell r="S792">
            <v>45903</v>
          </cell>
          <cell r="T792">
            <v>45903</v>
          </cell>
          <cell r="U792" t="str">
            <v>P005478603</v>
          </cell>
          <cell r="V792" t="str">
            <v>철근공</v>
          </cell>
          <cell r="W792" t="str">
            <v>베트남</v>
          </cell>
        </row>
        <row r="793">
          <cell r="A793" t="str">
            <v>헤에우</v>
          </cell>
          <cell r="B793" t="str">
            <v>사천시 용현면 신송길80-1</v>
          </cell>
          <cell r="C793" t="str">
            <v>900824-5980195</v>
          </cell>
          <cell r="D793" t="str">
            <v>010-2488-2268</v>
          </cell>
          <cell r="E793">
            <v>193000</v>
          </cell>
          <cell r="F793" t="str">
            <v>남</v>
          </cell>
          <cell r="G793">
            <v>37</v>
          </cell>
          <cell r="H793" t="str">
            <v>외국인</v>
          </cell>
          <cell r="I793" t="str">
            <v>NGUYEN XUAN HIEU</v>
          </cell>
          <cell r="J793" t="str">
            <v>철근공</v>
          </cell>
          <cell r="K793" t="str">
            <v>바하팀</v>
          </cell>
          <cell r="L793" t="str">
            <v>9003-3023-8737-1</v>
          </cell>
          <cell r="M793" t="str">
            <v>MG새마을</v>
          </cell>
          <cell r="N793" t="str">
            <v>NGUYEN XUAN HIEU</v>
          </cell>
          <cell r="O793">
            <v>45612</v>
          </cell>
          <cell r="Q793" t="str">
            <v/>
          </cell>
          <cell r="S793">
            <v>45903</v>
          </cell>
          <cell r="T793">
            <v>45903</v>
          </cell>
          <cell r="U793" t="str">
            <v>P03480908</v>
          </cell>
          <cell r="V793" t="str">
            <v>철근공</v>
          </cell>
          <cell r="W793" t="str">
            <v>베트남</v>
          </cell>
        </row>
        <row r="794">
          <cell r="A794" t="str">
            <v>풍피홍</v>
          </cell>
          <cell r="B794" t="str">
            <v>강릉시 관대길36번길8</v>
          </cell>
          <cell r="C794" t="str">
            <v>980113-5</v>
          </cell>
          <cell r="D794" t="str">
            <v>010-8394-3388</v>
          </cell>
          <cell r="E794">
            <v>193000</v>
          </cell>
          <cell r="F794" t="str">
            <v>남</v>
          </cell>
          <cell r="G794">
            <v>29</v>
          </cell>
          <cell r="H794" t="str">
            <v>외국인</v>
          </cell>
          <cell r="I794" t="str">
            <v>PHUNG PHIHUNG</v>
          </cell>
          <cell r="J794" t="str">
            <v>철근공</v>
          </cell>
          <cell r="K794" t="str">
            <v>바하팀</v>
          </cell>
          <cell r="O794">
            <v>43563</v>
          </cell>
          <cell r="Q794" t="str">
            <v/>
          </cell>
          <cell r="S794">
            <v>45903</v>
          </cell>
          <cell r="T794">
            <v>45903</v>
          </cell>
          <cell r="U794" t="str">
            <v>C4028872</v>
          </cell>
          <cell r="V794" t="str">
            <v>철근공</v>
          </cell>
          <cell r="W794" t="str">
            <v>베트남</v>
          </cell>
        </row>
        <row r="795">
          <cell r="A795" t="str">
            <v>황반빈</v>
          </cell>
          <cell r="C795" t="str">
            <v>850706-5</v>
          </cell>
          <cell r="E795">
            <v>193000</v>
          </cell>
          <cell r="F795" t="str">
            <v>남</v>
          </cell>
          <cell r="G795">
            <v>42</v>
          </cell>
          <cell r="H795" t="str">
            <v>외국인</v>
          </cell>
          <cell r="I795" t="str">
            <v>HOANG VAN BINH</v>
          </cell>
          <cell r="J795" t="str">
            <v>철근공</v>
          </cell>
          <cell r="K795" t="str">
            <v>바하팀</v>
          </cell>
          <cell r="L795" t="str">
            <v>142-910459-26207</v>
          </cell>
          <cell r="M795" t="str">
            <v>하나은행</v>
          </cell>
          <cell r="N795" t="str">
            <v>HOANG VAN BINH</v>
          </cell>
          <cell r="O795">
            <v>43480</v>
          </cell>
          <cell r="Q795" t="str">
            <v/>
          </cell>
          <cell r="S795">
            <v>45903</v>
          </cell>
          <cell r="T795">
            <v>45903</v>
          </cell>
          <cell r="U795" t="str">
            <v>B8864055</v>
          </cell>
          <cell r="V795" t="str">
            <v>철근공</v>
          </cell>
          <cell r="W795" t="str">
            <v>베트남</v>
          </cell>
        </row>
        <row r="796">
          <cell r="A796" t="str">
            <v>또반르엉</v>
          </cell>
          <cell r="B796" t="str">
            <v>강릉시 관대길24-7</v>
          </cell>
          <cell r="C796" t="str">
            <v>800117-5</v>
          </cell>
          <cell r="D796" t="str">
            <v>010-8450-7868</v>
          </cell>
          <cell r="E796">
            <v>193000</v>
          </cell>
          <cell r="F796" t="str">
            <v>남</v>
          </cell>
          <cell r="G796">
            <v>47</v>
          </cell>
          <cell r="H796" t="str">
            <v>외국인</v>
          </cell>
          <cell r="I796" t="str">
            <v>TO VAN LUONG</v>
          </cell>
          <cell r="J796" t="str">
            <v>철근공</v>
          </cell>
          <cell r="K796" t="str">
            <v>바하팀</v>
          </cell>
          <cell r="L796" t="str">
            <v>273-910113-81107</v>
          </cell>
          <cell r="M796" t="str">
            <v>하나은행</v>
          </cell>
          <cell r="N796" t="str">
            <v>TO VAN LUONG</v>
          </cell>
          <cell r="O796">
            <v>43497</v>
          </cell>
          <cell r="Q796" t="str">
            <v/>
          </cell>
          <cell r="S796">
            <v>45903</v>
          </cell>
          <cell r="T796">
            <v>45903</v>
          </cell>
          <cell r="U796" t="str">
            <v>N2086058</v>
          </cell>
          <cell r="V796" t="str">
            <v>철근공</v>
          </cell>
          <cell r="W796" t="str">
            <v>베트남</v>
          </cell>
        </row>
        <row r="797">
          <cell r="A797" t="str">
            <v>또반만</v>
          </cell>
          <cell r="B797" t="str">
            <v>강릉시 관대길24-7</v>
          </cell>
          <cell r="C797" t="str">
            <v>990428-5</v>
          </cell>
          <cell r="D797" t="str">
            <v>010-9833-6395</v>
          </cell>
          <cell r="E797">
            <v>193000</v>
          </cell>
          <cell r="F797" t="str">
            <v>남</v>
          </cell>
          <cell r="G797">
            <v>28</v>
          </cell>
          <cell r="H797" t="str">
            <v>외국인</v>
          </cell>
          <cell r="I797" t="str">
            <v>TO VAN MANH</v>
          </cell>
          <cell r="J797" t="str">
            <v>철근공</v>
          </cell>
          <cell r="K797" t="str">
            <v>바하팀</v>
          </cell>
          <cell r="L797" t="str">
            <v>273-910116-76007</v>
          </cell>
          <cell r="M797" t="str">
            <v>하나은행</v>
          </cell>
          <cell r="N797" t="str">
            <v>TO VAN MANH</v>
          </cell>
          <cell r="O797">
            <v>44145</v>
          </cell>
          <cell r="Q797" t="str">
            <v/>
          </cell>
          <cell r="S797">
            <v>45903</v>
          </cell>
          <cell r="T797">
            <v>45903</v>
          </cell>
          <cell r="U797" t="str">
            <v>C6892312</v>
          </cell>
          <cell r="V797" t="str">
            <v>철근공</v>
          </cell>
          <cell r="W797" t="str">
            <v>베트남</v>
          </cell>
        </row>
        <row r="798">
          <cell r="A798" t="str">
            <v>쯔엉반디엔</v>
          </cell>
          <cell r="B798" t="str">
            <v>강릉시 관대길15번길6</v>
          </cell>
          <cell r="C798" t="str">
            <v>930705-5</v>
          </cell>
          <cell r="D798" t="str">
            <v>010-7253-1974</v>
          </cell>
          <cell r="E798">
            <v>193000</v>
          </cell>
          <cell r="F798" t="str">
            <v>남</v>
          </cell>
          <cell r="G798">
            <v>34</v>
          </cell>
          <cell r="H798" t="str">
            <v>외국인</v>
          </cell>
          <cell r="I798" t="str">
            <v>TRUONG VAN TIEN</v>
          </cell>
          <cell r="J798" t="str">
            <v>철근공</v>
          </cell>
          <cell r="K798" t="str">
            <v>바하팀</v>
          </cell>
          <cell r="O798">
            <v>43874</v>
          </cell>
          <cell r="Q798" t="str">
            <v/>
          </cell>
          <cell r="S798">
            <v>45903</v>
          </cell>
          <cell r="T798">
            <v>45903</v>
          </cell>
          <cell r="U798" t="str">
            <v>Q00292339</v>
          </cell>
          <cell r="V798" t="str">
            <v>철근공</v>
          </cell>
          <cell r="W798" t="str">
            <v>베트남</v>
          </cell>
        </row>
        <row r="799">
          <cell r="A799" t="str">
            <v>웬디엔닷</v>
          </cell>
          <cell r="B799" t="str">
            <v>강릉시 관대길36번길8</v>
          </cell>
          <cell r="C799" t="str">
            <v>960517-5</v>
          </cell>
          <cell r="D799" t="str">
            <v>010-3099-5886</v>
          </cell>
          <cell r="E799">
            <v>193000</v>
          </cell>
          <cell r="F799" t="str">
            <v>남</v>
          </cell>
          <cell r="G799">
            <v>31</v>
          </cell>
          <cell r="H799" t="str">
            <v>외국인</v>
          </cell>
          <cell r="I799" t="str">
            <v>NGUYEN TIEN DAT</v>
          </cell>
          <cell r="J799" t="str">
            <v>철근공</v>
          </cell>
          <cell r="K799" t="str">
            <v>바하팀</v>
          </cell>
          <cell r="L799" t="str">
            <v>691-910500-44007</v>
          </cell>
          <cell r="M799" t="str">
            <v>하나은행</v>
          </cell>
          <cell r="N799" t="str">
            <v>NGUYEN TIEN DAT</v>
          </cell>
          <cell r="O799">
            <v>43714</v>
          </cell>
          <cell r="Q799" t="str">
            <v/>
          </cell>
          <cell r="S799">
            <v>45903</v>
          </cell>
          <cell r="T799">
            <v>45903</v>
          </cell>
          <cell r="U799" t="str">
            <v>C9769982</v>
          </cell>
          <cell r="V799" t="str">
            <v>철근공</v>
          </cell>
          <cell r="W799" t="str">
            <v>베트남</v>
          </cell>
        </row>
        <row r="800">
          <cell r="A800" t="str">
            <v>찬반단</v>
          </cell>
          <cell r="B800" t="str">
            <v>강릉시 관대길36번길8</v>
          </cell>
          <cell r="C800" t="str">
            <v>040830-5</v>
          </cell>
          <cell r="D800" t="str">
            <v>010-5873-1268</v>
          </cell>
          <cell r="E800">
            <v>193000</v>
          </cell>
          <cell r="F800" t="str">
            <v>남</v>
          </cell>
          <cell r="G800">
            <v>23</v>
          </cell>
          <cell r="H800" t="str">
            <v>외국인</v>
          </cell>
          <cell r="I800" t="str">
            <v>TRAN VAN DAT</v>
          </cell>
          <cell r="J800" t="str">
            <v>철근공</v>
          </cell>
          <cell r="K800" t="str">
            <v>바하팀</v>
          </cell>
          <cell r="L800" t="str">
            <v>921-910234-61307</v>
          </cell>
          <cell r="M800" t="str">
            <v>하나은행</v>
          </cell>
          <cell r="N800" t="str">
            <v>TRAN VAN DAT</v>
          </cell>
          <cell r="O800">
            <v>45273</v>
          </cell>
          <cell r="Q800" t="str">
            <v/>
          </cell>
          <cell r="S800">
            <v>45903</v>
          </cell>
          <cell r="T800">
            <v>45903</v>
          </cell>
          <cell r="U800" t="str">
            <v>P00859932</v>
          </cell>
          <cell r="V800" t="str">
            <v>철근공</v>
          </cell>
          <cell r="W800" t="str">
            <v>베트남</v>
          </cell>
        </row>
        <row r="801">
          <cell r="A801" t="str">
            <v>오학근</v>
          </cell>
          <cell r="B801" t="str">
            <v>원주시 일산동 187-5</v>
          </cell>
          <cell r="C801" t="str">
            <v>720422-5</v>
          </cell>
          <cell r="E801">
            <v>193000</v>
          </cell>
          <cell r="F801" t="str">
            <v>남</v>
          </cell>
          <cell r="G801">
            <v>55</v>
          </cell>
          <cell r="H801" t="str">
            <v>외국인</v>
          </cell>
          <cell r="I801" t="str">
            <v>VO KHACKINH</v>
          </cell>
          <cell r="J801" t="str">
            <v>철근공</v>
          </cell>
          <cell r="K801" t="str">
            <v>바하팀</v>
          </cell>
          <cell r="L801" t="str">
            <v>142-910478-01507</v>
          </cell>
          <cell r="M801" t="str">
            <v>하나은행</v>
          </cell>
          <cell r="N801" t="str">
            <v>VO KHAC KINH</v>
          </cell>
          <cell r="O801">
            <v>43278</v>
          </cell>
          <cell r="Q801" t="str">
            <v/>
          </cell>
          <cell r="S801">
            <v>45910</v>
          </cell>
          <cell r="T801">
            <v>45910</v>
          </cell>
          <cell r="U801" t="str">
            <v>C4499235</v>
          </cell>
          <cell r="V801" t="str">
            <v>철근공</v>
          </cell>
          <cell r="W801" t="str">
            <v>베트남</v>
          </cell>
        </row>
        <row r="802">
          <cell r="A802" t="str">
            <v>웬반헨</v>
          </cell>
          <cell r="B802" t="str">
            <v>강릉시 관대길36번길8</v>
          </cell>
          <cell r="C802" t="str">
            <v>800819-5</v>
          </cell>
          <cell r="D802" t="str">
            <v>010-8438-6686</v>
          </cell>
          <cell r="E802">
            <v>193000</v>
          </cell>
          <cell r="F802" t="str">
            <v>남</v>
          </cell>
          <cell r="G802">
            <v>47</v>
          </cell>
          <cell r="H802" t="str">
            <v>외국인</v>
          </cell>
          <cell r="I802" t="str">
            <v>NGUYEN VANHIEN</v>
          </cell>
          <cell r="J802" t="str">
            <v>철근공</v>
          </cell>
          <cell r="K802" t="str">
            <v>바하팀</v>
          </cell>
          <cell r="O802">
            <v>45290</v>
          </cell>
          <cell r="Q802" t="str">
            <v/>
          </cell>
          <cell r="S802">
            <v>45910</v>
          </cell>
          <cell r="T802">
            <v>45910</v>
          </cell>
          <cell r="U802" t="str">
            <v>P02743142</v>
          </cell>
          <cell r="V802" t="str">
            <v>철근공</v>
          </cell>
          <cell r="W802" t="str">
            <v>베트남</v>
          </cell>
        </row>
        <row r="803">
          <cell r="A803" t="str">
            <v>구앙후안</v>
          </cell>
          <cell r="B803" t="str">
            <v>강릉시 관대길36번길8</v>
          </cell>
          <cell r="C803" t="str">
            <v>981107-5</v>
          </cell>
          <cell r="D803" t="str">
            <v>010-4982-1263</v>
          </cell>
          <cell r="E803">
            <v>193000</v>
          </cell>
          <cell r="F803" t="str">
            <v>남</v>
          </cell>
          <cell r="G803">
            <v>29</v>
          </cell>
          <cell r="H803" t="str">
            <v>외국인</v>
          </cell>
          <cell r="I803" t="str">
            <v>NGUYEN QUANGHUAN</v>
          </cell>
          <cell r="J803" t="str">
            <v>철근공</v>
          </cell>
          <cell r="K803" t="str">
            <v>바하팀</v>
          </cell>
          <cell r="O803">
            <v>43876</v>
          </cell>
          <cell r="Q803" t="str">
            <v/>
          </cell>
          <cell r="S803">
            <v>45910</v>
          </cell>
          <cell r="T803">
            <v>45910</v>
          </cell>
          <cell r="U803" t="str">
            <v>C9344288</v>
          </cell>
          <cell r="V803" t="str">
            <v>철근공</v>
          </cell>
          <cell r="W803" t="str">
            <v>베트남</v>
          </cell>
        </row>
        <row r="804">
          <cell r="A804" t="str">
            <v>낌끄엉</v>
          </cell>
          <cell r="B804" t="str">
            <v>강릉시 관대길29번길8</v>
          </cell>
          <cell r="C804" t="str">
            <v>900215-5</v>
          </cell>
          <cell r="D804" t="str">
            <v>010-3442-6886</v>
          </cell>
          <cell r="E804">
            <v>193000</v>
          </cell>
          <cell r="F804" t="str">
            <v>남</v>
          </cell>
          <cell r="G804">
            <v>37</v>
          </cell>
          <cell r="H804" t="str">
            <v>외국인</v>
          </cell>
          <cell r="I804" t="str">
            <v>VO KIMCUONG</v>
          </cell>
          <cell r="J804" t="str">
            <v>철근공</v>
          </cell>
          <cell r="K804" t="str">
            <v>바하팀</v>
          </cell>
          <cell r="O804">
            <v>44814</v>
          </cell>
          <cell r="Q804" t="str">
            <v/>
          </cell>
          <cell r="S804">
            <v>45910</v>
          </cell>
          <cell r="T804">
            <v>45910</v>
          </cell>
          <cell r="U804" t="str">
            <v>K0149581</v>
          </cell>
          <cell r="V804" t="str">
            <v>철근공</v>
          </cell>
          <cell r="W804" t="str">
            <v>베트남</v>
          </cell>
        </row>
        <row r="805">
          <cell r="A805" t="str">
            <v>도탄하이</v>
          </cell>
          <cell r="B805" t="str">
            <v>강릉시 관대길36번길8</v>
          </cell>
          <cell r="C805" t="str">
            <v>840822-5</v>
          </cell>
          <cell r="D805" t="str">
            <v>010-5120-8909</v>
          </cell>
          <cell r="E805">
            <v>193000</v>
          </cell>
          <cell r="F805" t="str">
            <v>남</v>
          </cell>
          <cell r="G805">
            <v>43</v>
          </cell>
          <cell r="H805" t="str">
            <v>외국인</v>
          </cell>
          <cell r="I805" t="str">
            <v>DO THANHHAI</v>
          </cell>
          <cell r="J805" t="str">
            <v>철근공</v>
          </cell>
          <cell r="K805" t="str">
            <v>바하팀</v>
          </cell>
          <cell r="O805">
            <v>44430</v>
          </cell>
          <cell r="Q805" t="str">
            <v/>
          </cell>
          <cell r="S805">
            <v>45910</v>
          </cell>
          <cell r="T805">
            <v>45910</v>
          </cell>
          <cell r="U805" t="str">
            <v>P01940291</v>
          </cell>
          <cell r="V805" t="str">
            <v>철근공</v>
          </cell>
          <cell r="W805" t="str">
            <v>베트남</v>
          </cell>
        </row>
        <row r="806">
          <cell r="A806" t="str">
            <v>원반기</v>
          </cell>
          <cell r="B806" t="str">
            <v>강릉시 관대길36번길8</v>
          </cell>
          <cell r="C806" t="str">
            <v>840523-5</v>
          </cell>
          <cell r="D806" t="str">
            <v>010-7270-3639</v>
          </cell>
          <cell r="E806">
            <v>193000</v>
          </cell>
          <cell r="F806" t="str">
            <v>남</v>
          </cell>
          <cell r="G806">
            <v>43</v>
          </cell>
          <cell r="H806" t="str">
            <v>외국인</v>
          </cell>
          <cell r="I806" t="str">
            <v>NGUYEN VANKY</v>
          </cell>
          <cell r="J806" t="str">
            <v>철근공</v>
          </cell>
          <cell r="K806" t="str">
            <v>바하팀</v>
          </cell>
          <cell r="L806" t="str">
            <v>188-910212-10007</v>
          </cell>
          <cell r="M806" t="str">
            <v>하나은행</v>
          </cell>
          <cell r="N806" t="str">
            <v>NGUYEN VAN KY</v>
          </cell>
          <cell r="O806">
            <v>43060</v>
          </cell>
          <cell r="Q806" t="str">
            <v/>
          </cell>
          <cell r="S806">
            <v>45910</v>
          </cell>
          <cell r="T806">
            <v>45910</v>
          </cell>
          <cell r="U806" t="str">
            <v>N2028458</v>
          </cell>
          <cell r="V806" t="str">
            <v>철근공</v>
          </cell>
          <cell r="W806" t="str">
            <v>베트남</v>
          </cell>
        </row>
        <row r="807">
          <cell r="A807" t="str">
            <v>잔득탄</v>
          </cell>
          <cell r="B807" t="str">
            <v>오산 소교길 68-2</v>
          </cell>
          <cell r="C807" t="str">
            <v>870110-5</v>
          </cell>
          <cell r="D807" t="str">
            <v>010-9869-5118</v>
          </cell>
          <cell r="E807">
            <v>193000</v>
          </cell>
          <cell r="F807" t="str">
            <v>남</v>
          </cell>
          <cell r="G807">
            <v>40</v>
          </cell>
          <cell r="H807" t="str">
            <v>외국인</v>
          </cell>
          <cell r="I807" t="str">
            <v>TRAN DUCTHANH</v>
          </cell>
          <cell r="J807" t="str">
            <v>철근공</v>
          </cell>
          <cell r="K807" t="str">
            <v>바하팀</v>
          </cell>
          <cell r="L807" t="str">
            <v>275-910132-34907</v>
          </cell>
          <cell r="M807" t="str">
            <v>하나은행</v>
          </cell>
          <cell r="N807" t="str">
            <v>TRAN DUC THANH</v>
          </cell>
          <cell r="O807">
            <v>43987</v>
          </cell>
          <cell r="Q807" t="str">
            <v/>
          </cell>
          <cell r="S807">
            <v>45910</v>
          </cell>
          <cell r="T807">
            <v>45910</v>
          </cell>
          <cell r="U807" t="str">
            <v>C6573405</v>
          </cell>
          <cell r="V807" t="str">
            <v>철근공</v>
          </cell>
          <cell r="W807" t="str">
            <v>베트남</v>
          </cell>
        </row>
        <row r="808">
          <cell r="A808" t="str">
            <v>판반쑤안</v>
          </cell>
          <cell r="B808" t="str">
            <v>경기도 수원시</v>
          </cell>
          <cell r="C808" t="str">
            <v>831205-5</v>
          </cell>
          <cell r="D808" t="str">
            <v>010-7282-1285</v>
          </cell>
          <cell r="E808">
            <v>193000</v>
          </cell>
          <cell r="F808" t="str">
            <v>남</v>
          </cell>
          <cell r="G808">
            <v>43</v>
          </cell>
          <cell r="H808" t="str">
            <v>외국인</v>
          </cell>
          <cell r="I808" t="str">
            <v>TRAN VAN XUAN</v>
          </cell>
          <cell r="J808" t="str">
            <v>철근공</v>
          </cell>
          <cell r="K808" t="str">
            <v>바하팀</v>
          </cell>
          <cell r="L808" t="str">
            <v>275-910077-49005</v>
          </cell>
          <cell r="M808" t="str">
            <v>하나은행</v>
          </cell>
          <cell r="N808" t="str">
            <v>TRAN VAN XUAN</v>
          </cell>
          <cell r="O808">
            <v>43775</v>
          </cell>
          <cell r="Q808" t="str">
            <v/>
          </cell>
          <cell r="S808">
            <v>45916</v>
          </cell>
          <cell r="T808">
            <v>45916</v>
          </cell>
          <cell r="U808" t="str">
            <v>C2627671</v>
          </cell>
          <cell r="V808" t="str">
            <v>철근공</v>
          </cell>
          <cell r="W808" t="str">
            <v>베트남</v>
          </cell>
        </row>
        <row r="809">
          <cell r="A809" t="str">
            <v>원수안구인</v>
          </cell>
          <cell r="B809" t="str">
            <v>경기도 수원시</v>
          </cell>
          <cell r="C809" t="str">
            <v>000322-5</v>
          </cell>
          <cell r="D809" t="str">
            <v>010-7510-5589</v>
          </cell>
          <cell r="E809">
            <v>193000</v>
          </cell>
          <cell r="F809" t="str">
            <v>남</v>
          </cell>
          <cell r="G809">
            <v>26</v>
          </cell>
          <cell r="H809" t="str">
            <v>외국인</v>
          </cell>
          <cell r="I809" t="str">
            <v>NGUYEN XUAN QUYNH</v>
          </cell>
          <cell r="J809" t="str">
            <v>철근공</v>
          </cell>
          <cell r="K809" t="str">
            <v>바하팀</v>
          </cell>
          <cell r="L809" t="str">
            <v>117-910700-36107</v>
          </cell>
          <cell r="M809" t="str">
            <v>하나은행</v>
          </cell>
          <cell r="N809" t="str">
            <v>NGUYEN XUAN QUYNH</v>
          </cell>
          <cell r="O809">
            <v>44170</v>
          </cell>
          <cell r="Q809" t="str">
            <v/>
          </cell>
          <cell r="S809">
            <v>45916</v>
          </cell>
          <cell r="T809">
            <v>45916</v>
          </cell>
          <cell r="U809" t="str">
            <v>C6785213</v>
          </cell>
          <cell r="V809" t="str">
            <v>철근공</v>
          </cell>
          <cell r="W809" t="str">
            <v>베트남</v>
          </cell>
        </row>
        <row r="810">
          <cell r="A810" t="str">
            <v>당빈톤</v>
          </cell>
          <cell r="B810" t="str">
            <v>경기도 수원시</v>
          </cell>
          <cell r="C810" t="str">
            <v>060403-5</v>
          </cell>
          <cell r="D810" t="str">
            <v>010-9894-0266</v>
          </cell>
          <cell r="E810">
            <v>193000</v>
          </cell>
          <cell r="F810" t="str">
            <v>남</v>
          </cell>
          <cell r="G810">
            <v>20</v>
          </cell>
          <cell r="H810" t="str">
            <v>외국인</v>
          </cell>
          <cell r="I810" t="str">
            <v>DANG BIN TON</v>
          </cell>
          <cell r="J810" t="str">
            <v>철근공</v>
          </cell>
          <cell r="K810" t="str">
            <v>바하팀</v>
          </cell>
          <cell r="O810">
            <v>45426</v>
          </cell>
          <cell r="Q810" t="str">
            <v/>
          </cell>
          <cell r="S810">
            <v>45916</v>
          </cell>
          <cell r="T810">
            <v>45916</v>
          </cell>
          <cell r="U810" t="str">
            <v>E02678657</v>
          </cell>
          <cell r="V810" t="str">
            <v>철근공</v>
          </cell>
          <cell r="W810" t="str">
            <v>베트남</v>
          </cell>
        </row>
        <row r="811">
          <cell r="A811" t="str">
            <v>황득안</v>
          </cell>
          <cell r="B811" t="str">
            <v>경기도 수원시</v>
          </cell>
          <cell r="C811" t="str">
            <v>020807-5</v>
          </cell>
          <cell r="D811" t="str">
            <v>010-6761-3599</v>
          </cell>
          <cell r="E811">
            <v>193000</v>
          </cell>
          <cell r="F811" t="str">
            <v>남</v>
          </cell>
          <cell r="G811">
            <v>24</v>
          </cell>
          <cell r="H811" t="str">
            <v>외국인</v>
          </cell>
          <cell r="I811" t="str">
            <v>HOANG DUC ANH</v>
          </cell>
          <cell r="J811" t="str">
            <v>철근공</v>
          </cell>
          <cell r="K811" t="str">
            <v>바하팀</v>
          </cell>
          <cell r="O811">
            <v>44460</v>
          </cell>
          <cell r="Q811" t="str">
            <v/>
          </cell>
          <cell r="S811">
            <v>45916</v>
          </cell>
          <cell r="T811">
            <v>45916</v>
          </cell>
          <cell r="U811" t="str">
            <v>P03283833</v>
          </cell>
          <cell r="V811" t="str">
            <v>철근공</v>
          </cell>
          <cell r="W811" t="str">
            <v>베트남</v>
          </cell>
        </row>
        <row r="812">
          <cell r="A812" t="str">
            <v>응웬득민</v>
          </cell>
          <cell r="B812" t="str">
            <v>경기도 수원시</v>
          </cell>
          <cell r="C812" t="str">
            <v>050124-5</v>
          </cell>
          <cell r="D812" t="str">
            <v>010-7510-5588</v>
          </cell>
          <cell r="E812">
            <v>193000</v>
          </cell>
          <cell r="F812" t="str">
            <v>남</v>
          </cell>
          <cell r="G812">
            <v>20</v>
          </cell>
          <cell r="H812" t="str">
            <v>외국인</v>
          </cell>
          <cell r="I812" t="str">
            <v>NGUYEN DUC MINH</v>
          </cell>
          <cell r="J812" t="str">
            <v>철근공</v>
          </cell>
          <cell r="K812" t="str">
            <v>바하팀</v>
          </cell>
          <cell r="O812">
            <v>44358</v>
          </cell>
          <cell r="Q812" t="str">
            <v/>
          </cell>
          <cell r="S812">
            <v>45916</v>
          </cell>
          <cell r="T812">
            <v>45916</v>
          </cell>
          <cell r="U812" t="str">
            <v>E00502693</v>
          </cell>
          <cell r="V812" t="str">
            <v>철근공</v>
          </cell>
          <cell r="W812" t="str">
            <v>베트남</v>
          </cell>
        </row>
        <row r="813">
          <cell r="A813" t="str">
            <v>레반청</v>
          </cell>
          <cell r="B813" t="str">
            <v>경기도 수원시</v>
          </cell>
          <cell r="D813" t="str">
            <v>010-8398-0877</v>
          </cell>
          <cell r="I813" t="str">
            <v>LE VANTRUONG</v>
          </cell>
          <cell r="J813" t="str">
            <v>철근공</v>
          </cell>
          <cell r="L813" t="str">
            <v>435-910425-88007</v>
          </cell>
          <cell r="M813" t="str">
            <v>하나은행</v>
          </cell>
          <cell r="N813" t="str">
            <v>LE VANTRUONG</v>
          </cell>
        </row>
        <row r="814">
          <cell r="A814" t="str">
            <v>원국그엉</v>
          </cell>
          <cell r="C814" t="str">
            <v>010106-5</v>
          </cell>
          <cell r="D814" t="str">
            <v>010-9844-5499</v>
          </cell>
          <cell r="E814">
            <v>192000</v>
          </cell>
          <cell r="F814" t="str">
            <v>남</v>
          </cell>
          <cell r="G814">
            <v>26</v>
          </cell>
          <cell r="H814" t="str">
            <v>외국인</v>
          </cell>
          <cell r="I814" t="str">
            <v>NGUYEN QUOC CUONG</v>
          </cell>
          <cell r="J814" t="str">
            <v>철근공</v>
          </cell>
          <cell r="K814" t="str">
            <v>바하팀</v>
          </cell>
          <cell r="O814">
            <v>44176</v>
          </cell>
          <cell r="Q814" t="str">
            <v/>
          </cell>
          <cell r="R814">
            <v>45950</v>
          </cell>
          <cell r="S814">
            <v>45950</v>
          </cell>
          <cell r="T814">
            <v>45950</v>
          </cell>
          <cell r="U814" t="str">
            <v>C8298983</v>
          </cell>
          <cell r="V814" t="str">
            <v>철근공</v>
          </cell>
          <cell r="W814" t="str">
            <v>베트남</v>
          </cell>
        </row>
        <row r="815">
          <cell r="A815" t="str">
            <v>레보중옌</v>
          </cell>
          <cell r="B815" t="str">
            <v>원주시 나비허리길 124</v>
          </cell>
          <cell r="C815" t="str">
            <v>050915-5</v>
          </cell>
          <cell r="D815" t="str">
            <v>010-7590-1668</v>
          </cell>
          <cell r="E815">
            <v>192000</v>
          </cell>
          <cell r="F815" t="str">
            <v>남</v>
          </cell>
          <cell r="G815">
            <v>22</v>
          </cell>
          <cell r="H815" t="str">
            <v>외국인</v>
          </cell>
          <cell r="I815" t="str">
            <v>VO TRUNG NGUYEN</v>
          </cell>
          <cell r="J815" t="str">
            <v>철근공</v>
          </cell>
          <cell r="K815" t="str">
            <v>바하팀</v>
          </cell>
          <cell r="O815">
            <v>38610</v>
          </cell>
          <cell r="Q815" t="str">
            <v/>
          </cell>
          <cell r="R815">
            <v>45950</v>
          </cell>
          <cell r="S815">
            <v>45950</v>
          </cell>
          <cell r="T815">
            <v>45950</v>
          </cell>
          <cell r="U815" t="str">
            <v>E00770583</v>
          </cell>
          <cell r="V815" t="str">
            <v>철근공</v>
          </cell>
          <cell r="W815" t="str">
            <v>베트남</v>
          </cell>
        </row>
        <row r="816">
          <cell r="A816" t="str">
            <v>가오민휴</v>
          </cell>
          <cell r="C816" t="str">
            <v>021028-5</v>
          </cell>
          <cell r="D816" t="str">
            <v>010-2786-6268</v>
          </cell>
          <cell r="E816">
            <v>192000</v>
          </cell>
          <cell r="F816" t="str">
            <v>남</v>
          </cell>
          <cell r="G816">
            <v>25</v>
          </cell>
          <cell r="H816" t="str">
            <v>외국인</v>
          </cell>
          <cell r="I816" t="str">
            <v>CAO MINH HIEU</v>
          </cell>
          <cell r="J816" t="str">
            <v>철근공</v>
          </cell>
          <cell r="K816" t="str">
            <v>바하팀</v>
          </cell>
          <cell r="L816" t="str">
            <v>662-910868-11707</v>
          </cell>
          <cell r="M816" t="str">
            <v>하나은행</v>
          </cell>
          <cell r="N816" t="str">
            <v>CAO MINH HIEU</v>
          </cell>
          <cell r="O816">
            <v>44242</v>
          </cell>
          <cell r="Q816" t="str">
            <v/>
          </cell>
          <cell r="R816">
            <v>45950</v>
          </cell>
          <cell r="S816">
            <v>45950</v>
          </cell>
          <cell r="T816">
            <v>45950</v>
          </cell>
          <cell r="U816" t="str">
            <v>C9271763</v>
          </cell>
          <cell r="V816" t="str">
            <v>철근공</v>
          </cell>
          <cell r="W816" t="str">
            <v>베트남</v>
          </cell>
        </row>
        <row r="817">
          <cell r="A817" t="str">
            <v>원주엔</v>
          </cell>
          <cell r="B817" t="str">
            <v>원주시 흥업면 한촌길2-5</v>
          </cell>
          <cell r="C817" t="str">
            <v>000611-5</v>
          </cell>
          <cell r="D817" t="str">
            <v>010-5965-8116</v>
          </cell>
          <cell r="E817">
            <v>192000</v>
          </cell>
          <cell r="F817" t="str">
            <v>남</v>
          </cell>
          <cell r="G817">
            <v>27</v>
          </cell>
          <cell r="H817" t="str">
            <v>외국인</v>
          </cell>
          <cell r="I817" t="str">
            <v>NGUYEN NHAT BAO TRUYEN</v>
          </cell>
          <cell r="J817" t="str">
            <v>철근공</v>
          </cell>
          <cell r="K817" t="str">
            <v>바하팀</v>
          </cell>
          <cell r="L817" t="str">
            <v>137-910491-65107</v>
          </cell>
          <cell r="M817" t="str">
            <v>하나은행</v>
          </cell>
          <cell r="N817" t="str">
            <v>NGUYEN NHAT BAO TRUYEN</v>
          </cell>
          <cell r="O817">
            <v>44221</v>
          </cell>
          <cell r="R817">
            <v>45955</v>
          </cell>
          <cell r="S817">
            <v>45955</v>
          </cell>
          <cell r="T817">
            <v>45955</v>
          </cell>
          <cell r="U817" t="str">
            <v>N2180327</v>
          </cell>
          <cell r="V817" t="str">
            <v>철근공</v>
          </cell>
          <cell r="W817" t="str">
            <v>베트남</v>
          </cell>
        </row>
        <row r="818">
          <cell r="A818" t="str">
            <v>잔밧닷</v>
          </cell>
          <cell r="B818" t="str">
            <v>원주시 흥업면 세동길 10-35</v>
          </cell>
          <cell r="C818" t="str">
            <v>041106-5</v>
          </cell>
          <cell r="D818" t="str">
            <v>010-3954-3167</v>
          </cell>
          <cell r="E818">
            <v>192000</v>
          </cell>
          <cell r="F818" t="str">
            <v>남</v>
          </cell>
          <cell r="G818">
            <v>23</v>
          </cell>
          <cell r="H818" t="str">
            <v>외국인</v>
          </cell>
          <cell r="I818" t="str">
            <v>TRAN VAN DAT</v>
          </cell>
          <cell r="J818" t="str">
            <v>철근공</v>
          </cell>
          <cell r="K818" t="str">
            <v>바하팀</v>
          </cell>
          <cell r="O818">
            <v>45059</v>
          </cell>
          <cell r="R818">
            <v>45955</v>
          </cell>
          <cell r="S818">
            <v>45955</v>
          </cell>
          <cell r="T818">
            <v>45955</v>
          </cell>
          <cell r="U818" t="str">
            <v>P00142952</v>
          </cell>
          <cell r="V818" t="str">
            <v>철근공</v>
          </cell>
          <cell r="W818" t="str">
            <v>베트남</v>
          </cell>
        </row>
        <row r="819">
          <cell r="A819" t="str">
            <v>누엔탄영</v>
          </cell>
          <cell r="B819" t="str">
            <v>원주시 흥업면 한촌길2-5 103호</v>
          </cell>
          <cell r="C819" t="str">
            <v>010401-5</v>
          </cell>
          <cell r="D819" t="str">
            <v>010-2723-0199</v>
          </cell>
          <cell r="E819">
            <v>192000</v>
          </cell>
          <cell r="F819" t="str">
            <v>남</v>
          </cell>
          <cell r="G819">
            <v>26</v>
          </cell>
          <cell r="H819" t="str">
            <v>외국인</v>
          </cell>
          <cell r="I819" t="str">
            <v>NGUYEN THANH DUONG</v>
          </cell>
          <cell r="J819" t="str">
            <v>철근공</v>
          </cell>
          <cell r="K819" t="str">
            <v>바하팀</v>
          </cell>
          <cell r="O819">
            <v>43733</v>
          </cell>
          <cell r="R819">
            <v>45955</v>
          </cell>
          <cell r="S819">
            <v>45955</v>
          </cell>
          <cell r="T819">
            <v>45955</v>
          </cell>
          <cell r="U819" t="str">
            <v>N2225573</v>
          </cell>
          <cell r="V819" t="str">
            <v>철근공</v>
          </cell>
          <cell r="W819" t="str">
            <v>베트남</v>
          </cell>
        </row>
        <row r="820">
          <cell r="A820" t="str">
            <v>부이뚜안안</v>
          </cell>
          <cell r="C820" t="str">
            <v>050218-5</v>
          </cell>
          <cell r="D820" t="str">
            <v>010-2352-8368</v>
          </cell>
          <cell r="E820">
            <v>192000</v>
          </cell>
          <cell r="F820" t="str">
            <v>남</v>
          </cell>
          <cell r="G820">
            <v>22</v>
          </cell>
          <cell r="H820" t="str">
            <v>외국인</v>
          </cell>
          <cell r="I820" t="str">
            <v>BUI TUAN AN</v>
          </cell>
          <cell r="J820" t="str">
            <v>철근공</v>
          </cell>
          <cell r="K820" t="str">
            <v>바하팀</v>
          </cell>
          <cell r="O820">
            <v>45187</v>
          </cell>
          <cell r="R820">
            <v>45955</v>
          </cell>
          <cell r="S820">
            <v>45955</v>
          </cell>
          <cell r="T820">
            <v>45955</v>
          </cell>
          <cell r="U820" t="str">
            <v>E00987187</v>
          </cell>
          <cell r="V820" t="str">
            <v>철근공</v>
          </cell>
          <cell r="W820" t="str">
            <v>베트남</v>
          </cell>
        </row>
        <row r="821">
          <cell r="A821" t="str">
            <v>낮구안</v>
          </cell>
          <cell r="B821" t="str">
            <v>원주시 흥업면 세동길 10-33</v>
          </cell>
          <cell r="C821" t="str">
            <v>970117-5</v>
          </cell>
          <cell r="D821" t="str">
            <v>010-2609-8386</v>
          </cell>
          <cell r="E821">
            <v>192000</v>
          </cell>
          <cell r="F821" t="str">
            <v>남</v>
          </cell>
          <cell r="G821">
            <v>30</v>
          </cell>
          <cell r="H821" t="str">
            <v>외국인</v>
          </cell>
          <cell r="I821" t="str">
            <v>HOANG NHAT QUAN</v>
          </cell>
          <cell r="J821" t="str">
            <v>철근공</v>
          </cell>
          <cell r="K821" t="str">
            <v>바하팀</v>
          </cell>
          <cell r="L821" t="str">
            <v>259-910451-54107</v>
          </cell>
          <cell r="M821" t="str">
            <v>하나은행</v>
          </cell>
          <cell r="N821" t="str">
            <v>HOANG NHAT QUAN</v>
          </cell>
          <cell r="O821">
            <v>43578</v>
          </cell>
          <cell r="R821">
            <v>45955</v>
          </cell>
          <cell r="S821">
            <v>45955</v>
          </cell>
          <cell r="T821">
            <v>45955</v>
          </cell>
          <cell r="U821" t="str">
            <v>C5451484</v>
          </cell>
          <cell r="V821" t="str">
            <v>철근공</v>
          </cell>
          <cell r="W821" t="str">
            <v>베트남</v>
          </cell>
        </row>
        <row r="822">
          <cell r="A822" t="str">
            <v>칵디엔</v>
          </cell>
          <cell r="B822" t="str">
            <v>원주시 흥업면 세동길 10-33</v>
          </cell>
          <cell r="C822" t="str">
            <v>030101-5</v>
          </cell>
          <cell r="D822" t="str">
            <v>010-5715-9699</v>
          </cell>
          <cell r="E822">
            <v>192000</v>
          </cell>
          <cell r="F822" t="str">
            <v>남</v>
          </cell>
          <cell r="G822">
            <v>24</v>
          </cell>
          <cell r="H822" t="str">
            <v>외국인</v>
          </cell>
          <cell r="I822" t="str">
            <v>HOANG VU KHAC TIEP</v>
          </cell>
          <cell r="J822" t="str">
            <v>철근공</v>
          </cell>
          <cell r="K822" t="str">
            <v>바하팀</v>
          </cell>
          <cell r="O822">
            <v>44378</v>
          </cell>
          <cell r="Q822" t="str">
            <v/>
          </cell>
          <cell r="R822">
            <v>45955</v>
          </cell>
          <cell r="S822">
            <v>45955</v>
          </cell>
          <cell r="T822">
            <v>45955</v>
          </cell>
          <cell r="U822" t="str">
            <v>C8904942</v>
          </cell>
          <cell r="V822" t="str">
            <v>철근공</v>
          </cell>
          <cell r="W822" t="str">
            <v>베트남</v>
          </cell>
        </row>
        <row r="823">
          <cell r="A823" t="str">
            <v>반기</v>
          </cell>
          <cell r="C823" t="str">
            <v>001102-5</v>
          </cell>
          <cell r="D823" t="str">
            <v>010-3275-8986</v>
          </cell>
          <cell r="E823">
            <v>192000</v>
          </cell>
          <cell r="G823">
            <v>27</v>
          </cell>
          <cell r="H823" t="str">
            <v>외국인</v>
          </cell>
          <cell r="I823" t="str">
            <v>HOANG VAN KY</v>
          </cell>
          <cell r="J823" t="str">
            <v>철근공</v>
          </cell>
          <cell r="K823" t="str">
            <v>바하팀</v>
          </cell>
          <cell r="L823" t="str">
            <v>519-910037-99507</v>
          </cell>
          <cell r="M823" t="str">
            <v>하나은행</v>
          </cell>
          <cell r="N823" t="str">
            <v>HOANG VAN KY</v>
          </cell>
          <cell r="O823">
            <v>44339</v>
          </cell>
          <cell r="R823">
            <v>45961</v>
          </cell>
          <cell r="S823">
            <v>45961</v>
          </cell>
          <cell r="T823">
            <v>45961</v>
          </cell>
          <cell r="U823" t="str">
            <v>C5584793</v>
          </cell>
          <cell r="V823" t="str">
            <v>철근공</v>
          </cell>
          <cell r="W823" t="str">
            <v>베트남</v>
          </cell>
        </row>
        <row r="824">
          <cell r="A824" t="str">
            <v>웬두안안</v>
          </cell>
          <cell r="C824" t="str">
            <v>020815-5</v>
          </cell>
          <cell r="D824" t="str">
            <v>010-7772-5808</v>
          </cell>
          <cell r="E824">
            <v>192000</v>
          </cell>
          <cell r="G824">
            <v>25</v>
          </cell>
          <cell r="H824" t="str">
            <v>외국인</v>
          </cell>
          <cell r="I824" t="str">
            <v>NGUYEN TUAN ANH</v>
          </cell>
          <cell r="J824" t="str">
            <v>철근공</v>
          </cell>
          <cell r="K824" t="str">
            <v>바하팀</v>
          </cell>
          <cell r="L824" t="str">
            <v>400-125676-01-019</v>
          </cell>
          <cell r="M824" t="str">
            <v>기업은행</v>
          </cell>
          <cell r="N824" t="str">
            <v>NGUYEN TUAN ANH</v>
          </cell>
          <cell r="O824">
            <v>44550</v>
          </cell>
          <cell r="R824">
            <v>45961</v>
          </cell>
          <cell r="S824">
            <v>45961</v>
          </cell>
          <cell r="T824">
            <v>45961</v>
          </cell>
          <cell r="U824" t="str">
            <v>C9595867</v>
          </cell>
          <cell r="V824" t="str">
            <v>철근공</v>
          </cell>
          <cell r="W824" t="str">
            <v>베트남</v>
          </cell>
        </row>
        <row r="825">
          <cell r="A825" t="str">
            <v>웬띤화</v>
          </cell>
          <cell r="C825" t="str">
            <v>011011-5</v>
          </cell>
          <cell r="D825" t="str">
            <v>010-2291-2169</v>
          </cell>
          <cell r="E825">
            <v>192000</v>
          </cell>
          <cell r="G825">
            <v>26</v>
          </cell>
          <cell r="H825" t="str">
            <v>외국인</v>
          </cell>
          <cell r="I825" t="str">
            <v>NGUYEN DINH HOA</v>
          </cell>
          <cell r="J825" t="str">
            <v>철근공</v>
          </cell>
          <cell r="K825" t="str">
            <v>바하팀</v>
          </cell>
          <cell r="L825" t="str">
            <v>365-910637-23007</v>
          </cell>
          <cell r="M825" t="str">
            <v>하나은행</v>
          </cell>
          <cell r="N825" t="str">
            <v>NGUYEN DINH HOA</v>
          </cell>
          <cell r="O825">
            <v>44547</v>
          </cell>
          <cell r="R825">
            <v>45961</v>
          </cell>
          <cell r="S825">
            <v>45961</v>
          </cell>
          <cell r="T825">
            <v>45961</v>
          </cell>
          <cell r="U825" t="str">
            <v>C9592223</v>
          </cell>
          <cell r="V825" t="str">
            <v>철근공</v>
          </cell>
          <cell r="W825" t="str">
            <v>베트남</v>
          </cell>
        </row>
        <row r="826">
          <cell r="A826" t="str">
            <v>수안단</v>
          </cell>
          <cell r="C826" t="str">
            <v>020909-5</v>
          </cell>
          <cell r="D826" t="str">
            <v>010-4163-8933</v>
          </cell>
          <cell r="E826">
            <v>192000</v>
          </cell>
          <cell r="G826">
            <v>25</v>
          </cell>
          <cell r="H826" t="str">
            <v>외국인</v>
          </cell>
          <cell r="I826" t="str">
            <v>TRAN XUAN DAN</v>
          </cell>
          <cell r="J826" t="str">
            <v>철근공</v>
          </cell>
          <cell r="K826" t="str">
            <v>바하팀</v>
          </cell>
          <cell r="O826">
            <v>44783</v>
          </cell>
          <cell r="R826">
            <v>45961</v>
          </cell>
          <cell r="S826">
            <v>45961</v>
          </cell>
          <cell r="T826">
            <v>45961</v>
          </cell>
          <cell r="U826" t="str">
            <v>C9571527</v>
          </cell>
          <cell r="V826" t="str">
            <v>철근공</v>
          </cell>
          <cell r="W826" t="str">
            <v>베트남</v>
          </cell>
        </row>
        <row r="827">
          <cell r="A827" t="str">
            <v>레반칸</v>
          </cell>
          <cell r="B827" t="str">
            <v>강원도 원주시</v>
          </cell>
          <cell r="C827" t="str">
            <v>020602-5</v>
          </cell>
          <cell r="D827" t="str">
            <v>010-7757-5575</v>
          </cell>
          <cell r="E827">
            <v>192000</v>
          </cell>
          <cell r="F827" t="str">
            <v>남</v>
          </cell>
          <cell r="G827">
            <v>25</v>
          </cell>
          <cell r="H827" t="str">
            <v>외국인</v>
          </cell>
          <cell r="I827" t="str">
            <v>LE VAN KHANH</v>
          </cell>
          <cell r="J827" t="str">
            <v>철근공</v>
          </cell>
          <cell r="K827" t="str">
            <v>바하팀</v>
          </cell>
          <cell r="L827" t="str">
            <v>365 910734 86207</v>
          </cell>
          <cell r="M827" t="str">
            <v>하나은행</v>
          </cell>
          <cell r="N827" t="str">
            <v>LE VAN KHANH</v>
          </cell>
          <cell r="O827">
            <v>44173</v>
          </cell>
          <cell r="Q827" t="str">
            <v/>
          </cell>
          <cell r="R827">
            <v>45964</v>
          </cell>
          <cell r="S827">
            <v>45964</v>
          </cell>
          <cell r="T827">
            <v>45964</v>
          </cell>
          <cell r="U827" t="str">
            <v>C9328482</v>
          </cell>
          <cell r="V827" t="str">
            <v>철근공</v>
          </cell>
          <cell r="W827" t="str">
            <v>베트남</v>
          </cell>
        </row>
        <row r="828">
          <cell r="A828" t="str">
            <v>원태종</v>
          </cell>
          <cell r="B828" t="str">
            <v>강원 원주시 우산초교길68-14</v>
          </cell>
          <cell r="C828" t="str">
            <v>020121-5</v>
          </cell>
          <cell r="D828" t="str">
            <v>010-5131-3398</v>
          </cell>
          <cell r="E828">
            <v>192000</v>
          </cell>
          <cell r="F828" t="str">
            <v>남</v>
          </cell>
          <cell r="G828">
            <v>25</v>
          </cell>
          <cell r="H828" t="str">
            <v>외국인</v>
          </cell>
          <cell r="I828" t="str">
            <v>NGUTEN THE TRONG</v>
          </cell>
          <cell r="J828" t="str">
            <v>철근공</v>
          </cell>
          <cell r="K828" t="str">
            <v>바하팀</v>
          </cell>
          <cell r="L828" t="str">
            <v>381-910148-21107</v>
          </cell>
          <cell r="M828" t="str">
            <v>하나은행</v>
          </cell>
          <cell r="N828" t="str">
            <v>NGUTEN THE TRONG</v>
          </cell>
          <cell r="O828">
            <v>44179</v>
          </cell>
          <cell r="Q828" t="str">
            <v/>
          </cell>
          <cell r="R828">
            <v>45964</v>
          </cell>
          <cell r="S828">
            <v>45964</v>
          </cell>
          <cell r="T828">
            <v>45964</v>
          </cell>
          <cell r="U828" t="str">
            <v>C9361801</v>
          </cell>
          <cell r="V828" t="str">
            <v>철근공</v>
          </cell>
          <cell r="W828" t="str">
            <v>베트남</v>
          </cell>
        </row>
        <row r="829">
          <cell r="A829" t="str">
            <v>보시뚜안</v>
          </cell>
          <cell r="B829" t="str">
            <v>강원도 원주시</v>
          </cell>
          <cell r="C829" t="str">
            <v>841219-5</v>
          </cell>
          <cell r="D829" t="str">
            <v>010-7648-7962</v>
          </cell>
          <cell r="E829">
            <v>192000</v>
          </cell>
          <cell r="F829" t="str">
            <v>남</v>
          </cell>
          <cell r="G829">
            <v>43</v>
          </cell>
          <cell r="H829" t="str">
            <v>외국인</v>
          </cell>
          <cell r="I829" t="str">
            <v>VO SY TUAN</v>
          </cell>
          <cell r="J829" t="str">
            <v>철근공</v>
          </cell>
          <cell r="K829" t="str">
            <v>바하팀</v>
          </cell>
          <cell r="L829" t="str">
            <v>175-910409-80507</v>
          </cell>
          <cell r="M829" t="str">
            <v>하나은행</v>
          </cell>
          <cell r="N829" t="str">
            <v>VO SY TUAN</v>
          </cell>
          <cell r="O829">
            <v>44053</v>
          </cell>
          <cell r="R829">
            <v>45964</v>
          </cell>
          <cell r="S829">
            <v>45964</v>
          </cell>
          <cell r="T829">
            <v>45964</v>
          </cell>
          <cell r="U829" t="str">
            <v>C7297499</v>
          </cell>
          <cell r="V829" t="str">
            <v>철근공</v>
          </cell>
          <cell r="W829" t="str">
            <v>베트남</v>
          </cell>
        </row>
        <row r="830">
          <cell r="A830" t="str">
            <v>팜각두</v>
          </cell>
          <cell r="B830" t="str">
            <v>강원도 원주시 상지대길32</v>
          </cell>
          <cell r="C830" t="str">
            <v>021129-5</v>
          </cell>
          <cell r="D830" t="str">
            <v>010-4220-5331</v>
          </cell>
          <cell r="E830">
            <v>192000</v>
          </cell>
          <cell r="F830" t="str">
            <v>남</v>
          </cell>
          <cell r="G830">
            <v>25</v>
          </cell>
          <cell r="H830" t="str">
            <v>외국인</v>
          </cell>
          <cell r="I830" t="str">
            <v>PHAN VAN TUAN</v>
          </cell>
          <cell r="J830" t="str">
            <v>철근공</v>
          </cell>
          <cell r="K830" t="str">
            <v>바하팀</v>
          </cell>
          <cell r="O830">
            <v>44540</v>
          </cell>
          <cell r="R830">
            <v>45964</v>
          </cell>
          <cell r="S830">
            <v>45964</v>
          </cell>
          <cell r="T830">
            <v>45964</v>
          </cell>
          <cell r="U830" t="str">
            <v>C9855168</v>
          </cell>
          <cell r="V830" t="str">
            <v>철근공</v>
          </cell>
          <cell r="W830" t="str">
            <v>베트남</v>
          </cell>
        </row>
        <row r="831">
          <cell r="A831" t="str">
            <v>위딘틴</v>
          </cell>
          <cell r="B831" t="str">
            <v xml:space="preserve">강원도 원주시 흥업면 </v>
          </cell>
          <cell r="C831" t="str">
            <v>000506-5</v>
          </cell>
          <cell r="D831" t="str">
            <v>010-2472-8388</v>
          </cell>
          <cell r="E831">
            <v>192000</v>
          </cell>
          <cell r="F831" t="str">
            <v>남</v>
          </cell>
          <cell r="G831">
            <v>27</v>
          </cell>
          <cell r="H831" t="str">
            <v>외국인</v>
          </cell>
          <cell r="I831" t="str">
            <v>VU DINH THIN</v>
          </cell>
          <cell r="J831" t="str">
            <v>철근공</v>
          </cell>
          <cell r="K831" t="str">
            <v>바하팀</v>
          </cell>
          <cell r="L831" t="str">
            <v>352-2128-9802-63</v>
          </cell>
          <cell r="M831" t="str">
            <v>농협은행</v>
          </cell>
          <cell r="O831">
            <v>43761</v>
          </cell>
          <cell r="R831">
            <v>45964</v>
          </cell>
          <cell r="S831">
            <v>45964</v>
          </cell>
          <cell r="T831">
            <v>45964</v>
          </cell>
          <cell r="U831" t="str">
            <v>P00048308</v>
          </cell>
          <cell r="V831" t="str">
            <v>철근공</v>
          </cell>
          <cell r="W831" t="str">
            <v>베트남</v>
          </cell>
        </row>
        <row r="832">
          <cell r="A832" t="str">
            <v>판반종</v>
          </cell>
          <cell r="B832" t="str">
            <v>우산동 11-2</v>
          </cell>
          <cell r="C832" t="str">
            <v>010107-5</v>
          </cell>
          <cell r="D832" t="str">
            <v>010-8089-6909</v>
          </cell>
          <cell r="E832">
            <v>192000</v>
          </cell>
          <cell r="F832" t="str">
            <v>남</v>
          </cell>
          <cell r="G832">
            <v>26</v>
          </cell>
          <cell r="H832" t="str">
            <v>외국인</v>
          </cell>
          <cell r="I832" t="str">
            <v>PHAN VAN TRUNG</v>
          </cell>
          <cell r="J832" t="str">
            <v>철근공</v>
          </cell>
          <cell r="K832" t="str">
            <v>바하팀</v>
          </cell>
          <cell r="L832" t="str">
            <v>365-910929-09007</v>
          </cell>
          <cell r="M832" t="str">
            <v>하나은행</v>
          </cell>
          <cell r="N832" t="str">
            <v>PHAN VAN TRUNG</v>
          </cell>
          <cell r="O832">
            <v>43909</v>
          </cell>
          <cell r="R832">
            <v>45987</v>
          </cell>
          <cell r="S832">
            <v>45987</v>
          </cell>
          <cell r="T832">
            <v>45987</v>
          </cell>
          <cell r="U832" t="str">
            <v>P03249710</v>
          </cell>
          <cell r="V832" t="str">
            <v>철근공</v>
          </cell>
          <cell r="W832" t="str">
            <v>베트남</v>
          </cell>
        </row>
        <row r="833">
          <cell r="A833" t="str">
            <v>원쑤안영</v>
          </cell>
          <cell r="B833" t="str">
            <v>우산동 11-2</v>
          </cell>
          <cell r="C833" t="str">
            <v>020806-5</v>
          </cell>
          <cell r="D833" t="str">
            <v>010-3018-8169</v>
          </cell>
          <cell r="E833">
            <v>192000</v>
          </cell>
          <cell r="F833" t="str">
            <v>남</v>
          </cell>
          <cell r="G833">
            <v>25</v>
          </cell>
          <cell r="H833" t="str">
            <v>외국인</v>
          </cell>
          <cell r="I833" t="str">
            <v>NGUYEN XUAN DUONG</v>
          </cell>
          <cell r="J833" t="str">
            <v>철근공</v>
          </cell>
          <cell r="K833" t="str">
            <v>바하팀</v>
          </cell>
          <cell r="L833" t="str">
            <v>365-910929-12207</v>
          </cell>
          <cell r="M833" t="str">
            <v>하나은행</v>
          </cell>
          <cell r="N833" t="str">
            <v>NGUYEN XUAN DUONG</v>
          </cell>
          <cell r="O833">
            <v>43909</v>
          </cell>
          <cell r="R833">
            <v>45987</v>
          </cell>
          <cell r="S833">
            <v>45987</v>
          </cell>
          <cell r="T833">
            <v>45987</v>
          </cell>
          <cell r="U833" t="str">
            <v>E01873260</v>
          </cell>
          <cell r="V833" t="str">
            <v>철근공</v>
          </cell>
          <cell r="W833" t="str">
            <v>베트남</v>
          </cell>
        </row>
        <row r="834">
          <cell r="A834" t="str">
            <v>바오란</v>
          </cell>
          <cell r="B834" t="str">
            <v>한라대길 12-34</v>
          </cell>
          <cell r="C834" t="str">
            <v>061124-5</v>
          </cell>
          <cell r="D834" t="str">
            <v>010-3970-2149</v>
          </cell>
          <cell r="E834">
            <v>192000</v>
          </cell>
          <cell r="F834" t="str">
            <v>남</v>
          </cell>
          <cell r="G834">
            <v>21</v>
          </cell>
          <cell r="H834" t="str">
            <v>외국인</v>
          </cell>
          <cell r="I834" t="str">
            <v>PHAM LE BAOLAN</v>
          </cell>
          <cell r="J834" t="str">
            <v>철근공</v>
          </cell>
          <cell r="K834" t="str">
            <v>바하팀</v>
          </cell>
          <cell r="L834" t="str">
            <v>365-910985-04707</v>
          </cell>
          <cell r="M834" t="str">
            <v>하나은행</v>
          </cell>
          <cell r="N834" t="str">
            <v>PHAM LE BAOLAN</v>
          </cell>
          <cell r="O834">
            <v>45636</v>
          </cell>
          <cell r="R834">
            <v>45987</v>
          </cell>
          <cell r="S834">
            <v>45987</v>
          </cell>
          <cell r="T834">
            <v>45987</v>
          </cell>
          <cell r="U834" t="str">
            <v>E00583213</v>
          </cell>
          <cell r="V834" t="str">
            <v>철근공</v>
          </cell>
          <cell r="W834" t="str">
            <v>베트남</v>
          </cell>
        </row>
        <row r="835">
          <cell r="A835" t="str">
            <v>두안보오</v>
          </cell>
          <cell r="B835" t="str">
            <v>원주시 단계동 573-2</v>
          </cell>
          <cell r="C835" t="str">
            <v>990508-5</v>
          </cell>
          <cell r="D835" t="str">
            <v>010-5871-8668</v>
          </cell>
          <cell r="E835">
            <v>192000</v>
          </cell>
          <cell r="F835" t="str">
            <v>남</v>
          </cell>
          <cell r="G835">
            <v>28</v>
          </cell>
          <cell r="H835" t="str">
            <v>외국인</v>
          </cell>
          <cell r="I835" t="str">
            <v>DAU TUAN BAO</v>
          </cell>
          <cell r="J835" t="str">
            <v>철근공</v>
          </cell>
          <cell r="K835" t="str">
            <v>바하팀</v>
          </cell>
          <cell r="O835">
            <v>43044</v>
          </cell>
          <cell r="R835">
            <v>45987</v>
          </cell>
          <cell r="S835">
            <v>45987</v>
          </cell>
          <cell r="T835">
            <v>45987</v>
          </cell>
          <cell r="U835" t="str">
            <v>C3017064</v>
          </cell>
          <cell r="V835" t="str">
            <v>철근공</v>
          </cell>
          <cell r="W835" t="str">
            <v>베트남</v>
          </cell>
        </row>
        <row r="836">
          <cell r="A836" t="str">
            <v>하이닌</v>
          </cell>
          <cell r="B836" t="str">
            <v>원주시 단계동 573-2</v>
          </cell>
          <cell r="C836" t="str">
            <v>011007-5</v>
          </cell>
          <cell r="D836" t="str">
            <v>010-3372-3388</v>
          </cell>
          <cell r="E836">
            <v>192000</v>
          </cell>
          <cell r="F836" t="str">
            <v>남</v>
          </cell>
          <cell r="G836">
            <v>26</v>
          </cell>
          <cell r="H836" t="str">
            <v>외국인</v>
          </cell>
          <cell r="I836" t="str">
            <v>TRAN HAI NINH</v>
          </cell>
          <cell r="J836" t="str">
            <v>철근공</v>
          </cell>
          <cell r="K836" t="str">
            <v>바하팀</v>
          </cell>
          <cell r="O836">
            <v>44294</v>
          </cell>
          <cell r="R836">
            <v>45987</v>
          </cell>
          <cell r="S836">
            <v>45987</v>
          </cell>
          <cell r="T836">
            <v>45987</v>
          </cell>
          <cell r="U836" t="str">
            <v>N2430292</v>
          </cell>
          <cell r="V836" t="str">
            <v>철근공</v>
          </cell>
          <cell r="W836" t="str">
            <v>베트남</v>
          </cell>
        </row>
        <row r="837">
          <cell r="A837" t="str">
            <v>레반하우</v>
          </cell>
          <cell r="B837" t="str">
            <v>원주시 단계동 573-2</v>
          </cell>
          <cell r="C837" t="str">
            <v>951215-5</v>
          </cell>
          <cell r="D837" t="str">
            <v>010-8301-9720</v>
          </cell>
          <cell r="E837">
            <v>192000</v>
          </cell>
          <cell r="F837" t="str">
            <v>남</v>
          </cell>
          <cell r="G837">
            <v>32</v>
          </cell>
          <cell r="H837" t="str">
            <v>외국인</v>
          </cell>
          <cell r="I837" t="str">
            <v>LE VAN HAU</v>
          </cell>
          <cell r="J837" t="str">
            <v>철근공</v>
          </cell>
          <cell r="K837" t="str">
            <v>바하팀</v>
          </cell>
          <cell r="O837">
            <v>43634</v>
          </cell>
          <cell r="R837">
            <v>45987</v>
          </cell>
          <cell r="S837">
            <v>45987</v>
          </cell>
          <cell r="T837">
            <v>45987</v>
          </cell>
          <cell r="U837" t="str">
            <v>C2479297</v>
          </cell>
          <cell r="V837" t="str">
            <v>철근공</v>
          </cell>
          <cell r="W837" t="str">
            <v>베트남</v>
          </cell>
        </row>
        <row r="838">
          <cell r="A838" t="str">
            <v>원두루엔</v>
          </cell>
          <cell r="B838" t="str">
            <v>북원로 2570번길</v>
          </cell>
          <cell r="C838" t="str">
            <v>850305-5</v>
          </cell>
          <cell r="D838" t="str">
            <v>010-7550-1785</v>
          </cell>
          <cell r="E838">
            <v>192000</v>
          </cell>
          <cell r="F838" t="str">
            <v>남</v>
          </cell>
          <cell r="G838">
            <v>42</v>
          </cell>
          <cell r="H838" t="str">
            <v>외국인</v>
          </cell>
          <cell r="I838" t="str">
            <v>NGUYEN DUY LUYEN</v>
          </cell>
          <cell r="J838" t="str">
            <v>철근공</v>
          </cell>
          <cell r="K838" t="str">
            <v>바하팀</v>
          </cell>
          <cell r="O838">
            <v>44692</v>
          </cell>
          <cell r="R838">
            <v>45989</v>
          </cell>
          <cell r="S838">
            <v>45989</v>
          </cell>
          <cell r="T838">
            <v>45989</v>
          </cell>
          <cell r="U838" t="str">
            <v>P02100023</v>
          </cell>
          <cell r="V838" t="str">
            <v>철근공</v>
          </cell>
          <cell r="W838" t="str">
            <v>베트남</v>
          </cell>
        </row>
        <row r="839">
          <cell r="A839" t="str">
            <v>쏸하우</v>
          </cell>
          <cell r="B839" t="str">
            <v>원주시 상지대길 57-5</v>
          </cell>
          <cell r="C839" t="str">
            <v>930203-5</v>
          </cell>
          <cell r="D839" t="str">
            <v>010-8039-6657</v>
          </cell>
          <cell r="E839">
            <v>192000</v>
          </cell>
          <cell r="F839" t="str">
            <v>남</v>
          </cell>
          <cell r="G839">
            <v>34</v>
          </cell>
          <cell r="H839" t="str">
            <v>외국인</v>
          </cell>
          <cell r="I839" t="str">
            <v>TRAN XUAN HAU</v>
          </cell>
          <cell r="J839" t="str">
            <v>철근공</v>
          </cell>
          <cell r="K839" t="str">
            <v>바하팀</v>
          </cell>
          <cell r="O839">
            <v>43826</v>
          </cell>
          <cell r="R839">
            <v>45989</v>
          </cell>
          <cell r="S839">
            <v>45989</v>
          </cell>
          <cell r="T839">
            <v>45989</v>
          </cell>
          <cell r="U839" t="str">
            <v>C6122645</v>
          </cell>
          <cell r="V839" t="str">
            <v>철근공</v>
          </cell>
          <cell r="W839" t="str">
            <v>베트남</v>
          </cell>
        </row>
        <row r="840">
          <cell r="A840" t="str">
            <v>강반동</v>
          </cell>
          <cell r="B840" t="str">
            <v>우산초교길 57</v>
          </cell>
          <cell r="C840" t="str">
            <v>761216-5</v>
          </cell>
          <cell r="D840" t="str">
            <v>010-8254-8868</v>
          </cell>
          <cell r="E840">
            <v>192000</v>
          </cell>
          <cell r="F840" t="str">
            <v>남</v>
          </cell>
          <cell r="G840">
            <v>51</v>
          </cell>
          <cell r="H840" t="str">
            <v>외국인</v>
          </cell>
          <cell r="I840" t="str">
            <v>CAO VAN DONG</v>
          </cell>
          <cell r="J840" t="str">
            <v>철근공</v>
          </cell>
          <cell r="K840" t="str">
            <v>바하팀</v>
          </cell>
          <cell r="O840">
            <v>43924</v>
          </cell>
          <cell r="R840">
            <v>45989</v>
          </cell>
          <cell r="S840">
            <v>45989</v>
          </cell>
          <cell r="T840">
            <v>45989</v>
          </cell>
          <cell r="U840" t="str">
            <v>C7370044</v>
          </cell>
          <cell r="V840" t="str">
            <v>철근공</v>
          </cell>
          <cell r="W840" t="str">
            <v>베트남</v>
          </cell>
        </row>
        <row r="841">
          <cell r="A841" t="str">
            <v>부반구엔</v>
          </cell>
          <cell r="B841" t="str">
            <v>우산초교길 57</v>
          </cell>
          <cell r="C841" t="str">
            <v>851225-5</v>
          </cell>
          <cell r="D841" t="str">
            <v>010-8158-3206</v>
          </cell>
          <cell r="E841">
            <v>192000</v>
          </cell>
          <cell r="F841" t="str">
            <v>남</v>
          </cell>
          <cell r="G841">
            <v>42</v>
          </cell>
          <cell r="H841" t="str">
            <v>외국인</v>
          </cell>
          <cell r="I841" t="str">
            <v>VU VAN QUYEN</v>
          </cell>
          <cell r="J841" t="str">
            <v>철근공</v>
          </cell>
          <cell r="K841" t="str">
            <v>바하팀</v>
          </cell>
          <cell r="O841">
            <v>43781</v>
          </cell>
          <cell r="R841">
            <v>45989</v>
          </cell>
          <cell r="S841">
            <v>45989</v>
          </cell>
          <cell r="T841">
            <v>45989</v>
          </cell>
          <cell r="U841" t="str">
            <v>P01542588</v>
          </cell>
          <cell r="V841" t="str">
            <v>철근공</v>
          </cell>
          <cell r="W841" t="str">
            <v>베트남</v>
          </cell>
        </row>
        <row r="842">
          <cell r="A842" t="str">
            <v>반납</v>
          </cell>
          <cell r="B842" t="str">
            <v>북원로 2570번길</v>
          </cell>
          <cell r="C842" t="str">
            <v>030222-5</v>
          </cell>
          <cell r="D842" t="str">
            <v>010-3430-6696</v>
          </cell>
          <cell r="E842">
            <v>192000</v>
          </cell>
          <cell r="F842" t="str">
            <v>남</v>
          </cell>
          <cell r="G842">
            <v>24</v>
          </cell>
          <cell r="H842" t="str">
            <v>외국인</v>
          </cell>
          <cell r="I842" t="str">
            <v>NGUYEN VAN LAM</v>
          </cell>
          <cell r="J842" t="str">
            <v>철근공</v>
          </cell>
          <cell r="K842" t="str">
            <v>바하팀</v>
          </cell>
          <cell r="O842">
            <v>44607</v>
          </cell>
          <cell r="R842">
            <v>45989</v>
          </cell>
          <cell r="S842">
            <v>45989</v>
          </cell>
          <cell r="T842">
            <v>45989</v>
          </cell>
          <cell r="U842" t="str">
            <v>C9793380</v>
          </cell>
          <cell r="V842" t="str">
            <v>철근공</v>
          </cell>
          <cell r="W842" t="str">
            <v>베트남</v>
          </cell>
        </row>
        <row r="843">
          <cell r="A843" t="str">
            <v>퐁탄삼</v>
          </cell>
          <cell r="B843" t="str">
            <v>원주시 서원대로 17</v>
          </cell>
          <cell r="C843" t="str">
            <v>020820-5</v>
          </cell>
          <cell r="D843" t="str">
            <v>010-8316-3336</v>
          </cell>
          <cell r="E843">
            <v>192000</v>
          </cell>
          <cell r="F843" t="str">
            <v>남</v>
          </cell>
          <cell r="G843">
            <v>25</v>
          </cell>
          <cell r="H843" t="str">
            <v>외국인</v>
          </cell>
          <cell r="I843" t="str">
            <v>PHUNG THANH SAM</v>
          </cell>
          <cell r="J843" t="str">
            <v>철근공</v>
          </cell>
          <cell r="K843" t="str">
            <v>바하팀</v>
          </cell>
          <cell r="O843">
            <v>43702</v>
          </cell>
          <cell r="R843">
            <v>45994</v>
          </cell>
          <cell r="S843">
            <v>45994</v>
          </cell>
          <cell r="T843">
            <v>45994</v>
          </cell>
          <cell r="U843" t="str">
            <v>C9373995</v>
          </cell>
          <cell r="V843" t="str">
            <v>철근공</v>
          </cell>
          <cell r="W843" t="str">
            <v>베트남</v>
          </cell>
        </row>
        <row r="844">
          <cell r="A844" t="str">
            <v>홍람</v>
          </cell>
          <cell r="B844" t="str">
            <v>원주시 서원대로 17</v>
          </cell>
          <cell r="C844" t="str">
            <v>000808-5</v>
          </cell>
          <cell r="D844" t="str">
            <v>010-6791-3908</v>
          </cell>
          <cell r="E844">
            <v>192000</v>
          </cell>
          <cell r="F844" t="str">
            <v>남</v>
          </cell>
          <cell r="G844">
            <v>27</v>
          </cell>
          <cell r="H844" t="str">
            <v>외국인</v>
          </cell>
          <cell r="I844" t="str">
            <v>DANG HONG LAM</v>
          </cell>
          <cell r="J844" t="str">
            <v>철근공</v>
          </cell>
          <cell r="K844" t="str">
            <v>바하팀</v>
          </cell>
          <cell r="O844">
            <v>44339</v>
          </cell>
          <cell r="R844">
            <v>45994</v>
          </cell>
          <cell r="S844">
            <v>45994</v>
          </cell>
          <cell r="T844">
            <v>45994</v>
          </cell>
          <cell r="U844" t="str">
            <v>K0151821</v>
          </cell>
          <cell r="V844" t="str">
            <v>철근공</v>
          </cell>
          <cell r="W844" t="str">
            <v>베트남</v>
          </cell>
        </row>
        <row r="845">
          <cell r="A845" t="str">
            <v>마이반히엔</v>
          </cell>
          <cell r="C845" t="str">
            <v>000526-5</v>
          </cell>
          <cell r="D845" t="str">
            <v>010-2318-9889</v>
          </cell>
          <cell r="E845">
            <v>192000</v>
          </cell>
          <cell r="F845" t="str">
            <v>남</v>
          </cell>
          <cell r="G845">
            <v>27</v>
          </cell>
          <cell r="H845" t="str">
            <v>외국인</v>
          </cell>
          <cell r="I845" t="str">
            <v>MA VAN HIEN</v>
          </cell>
          <cell r="J845" t="str">
            <v>철근공</v>
          </cell>
          <cell r="K845" t="str">
            <v>바하팀</v>
          </cell>
          <cell r="O845">
            <v>44193</v>
          </cell>
          <cell r="R845">
            <v>46028</v>
          </cell>
          <cell r="S845">
            <v>46028</v>
          </cell>
          <cell r="T845">
            <v>46028</v>
          </cell>
          <cell r="U845" t="str">
            <v>C4770127</v>
          </cell>
          <cell r="V845" t="str">
            <v>철근공</v>
          </cell>
          <cell r="W845" t="str">
            <v>베트남</v>
          </cell>
        </row>
        <row r="846">
          <cell r="A846" t="str">
            <v>잔반딘</v>
          </cell>
          <cell r="C846" t="str">
            <v>961020-5</v>
          </cell>
          <cell r="D846" t="str">
            <v>010-5638-6048</v>
          </cell>
          <cell r="E846">
            <v>192000</v>
          </cell>
          <cell r="F846" t="str">
            <v>남</v>
          </cell>
          <cell r="G846">
            <v>31</v>
          </cell>
          <cell r="H846" t="str">
            <v>외국인</v>
          </cell>
          <cell r="I846" t="str">
            <v>TRAN VAN DINH</v>
          </cell>
          <cell r="J846" t="str">
            <v>철근공</v>
          </cell>
          <cell r="K846" t="str">
            <v>바하팀</v>
          </cell>
          <cell r="O846">
            <v>44187</v>
          </cell>
          <cell r="R846">
            <v>46028</v>
          </cell>
          <cell r="S846">
            <v>46028</v>
          </cell>
          <cell r="T846">
            <v>46028</v>
          </cell>
          <cell r="U846" t="str">
            <v>Q00423326</v>
          </cell>
          <cell r="V846" t="str">
            <v>철근공</v>
          </cell>
          <cell r="W846" t="str">
            <v>베트남</v>
          </cell>
        </row>
        <row r="847">
          <cell r="A847" t="str">
            <v>잔공두이</v>
          </cell>
          <cell r="C847" t="str">
            <v>950629-5</v>
          </cell>
          <cell r="D847" t="str">
            <v>010-8286-4131</v>
          </cell>
          <cell r="E847">
            <v>192000</v>
          </cell>
          <cell r="F847" t="str">
            <v>남</v>
          </cell>
          <cell r="G847">
            <v>32</v>
          </cell>
          <cell r="H847" t="str">
            <v>외국인</v>
          </cell>
          <cell r="I847" t="str">
            <v>TRAN CONG DUY</v>
          </cell>
          <cell r="J847" t="str">
            <v>철근공</v>
          </cell>
          <cell r="K847" t="str">
            <v>바하팀</v>
          </cell>
          <cell r="O847">
            <v>44454</v>
          </cell>
          <cell r="R847">
            <v>46028</v>
          </cell>
          <cell r="S847">
            <v>46028</v>
          </cell>
          <cell r="T847">
            <v>46028</v>
          </cell>
          <cell r="U847" t="str">
            <v>C9376169</v>
          </cell>
          <cell r="V847" t="str">
            <v>철근공</v>
          </cell>
          <cell r="W847" t="str">
            <v>베트남</v>
          </cell>
        </row>
        <row r="848">
          <cell r="A848" t="str">
            <v>판반뚜안</v>
          </cell>
          <cell r="B848" t="str">
            <v>강원도 원주시 상지대길32</v>
          </cell>
          <cell r="C848" t="str">
            <v>021129-5</v>
          </cell>
          <cell r="D848" t="str">
            <v>010-4220-5331</v>
          </cell>
          <cell r="E848">
            <v>193000</v>
          </cell>
          <cell r="F848" t="str">
            <v>남</v>
          </cell>
          <cell r="G848">
            <v>25</v>
          </cell>
          <cell r="H848" t="str">
            <v>외국인</v>
          </cell>
          <cell r="I848" t="str">
            <v>PHAN VAN TUAN</v>
          </cell>
          <cell r="J848" t="str">
            <v>철근공</v>
          </cell>
          <cell r="K848" t="str">
            <v>원태종</v>
          </cell>
          <cell r="O848">
            <v>44540</v>
          </cell>
          <cell r="R848">
            <v>45964</v>
          </cell>
          <cell r="S848">
            <v>45964</v>
          </cell>
          <cell r="T848">
            <v>45964</v>
          </cell>
          <cell r="U848" t="str">
            <v>C9855168</v>
          </cell>
          <cell r="V848" t="str">
            <v>철근공</v>
          </cell>
          <cell r="W848" t="str">
            <v>베트남</v>
          </cell>
        </row>
        <row r="849">
          <cell r="F849" t="str">
            <v/>
          </cell>
          <cell r="G849" t="str">
            <v/>
          </cell>
          <cell r="H849" t="str">
            <v/>
          </cell>
          <cell r="Q849" t="str">
            <v/>
          </cell>
        </row>
        <row r="850">
          <cell r="F850" t="str">
            <v/>
          </cell>
          <cell r="G850" t="str">
            <v/>
          </cell>
          <cell r="H850" t="str">
            <v/>
          </cell>
          <cell r="Q850" t="str">
            <v/>
          </cell>
        </row>
        <row r="851">
          <cell r="F851" t="str">
            <v/>
          </cell>
          <cell r="G851" t="str">
            <v/>
          </cell>
          <cell r="H851" t="str">
            <v/>
          </cell>
          <cell r="Q851" t="str">
            <v/>
          </cell>
        </row>
        <row r="852">
          <cell r="F852" t="str">
            <v/>
          </cell>
          <cell r="G852" t="str">
            <v/>
          </cell>
          <cell r="H852" t="str">
            <v/>
          </cell>
          <cell r="Q852" t="str">
            <v/>
          </cell>
        </row>
        <row r="853">
          <cell r="F853" t="str">
            <v/>
          </cell>
          <cell r="G853" t="str">
            <v/>
          </cell>
          <cell r="H853" t="str">
            <v/>
          </cell>
          <cell r="Q853" t="str">
            <v/>
          </cell>
        </row>
        <row r="854">
          <cell r="A854" t="str">
            <v>뷔반정</v>
          </cell>
          <cell r="C854" t="str">
            <v>820816-5</v>
          </cell>
          <cell r="D854" t="str">
            <v>010-3322-6827</v>
          </cell>
          <cell r="E854">
            <v>192000</v>
          </cell>
          <cell r="F854" t="str">
            <v>남</v>
          </cell>
          <cell r="G854">
            <v>45</v>
          </cell>
          <cell r="H854" t="str">
            <v>외국인</v>
          </cell>
          <cell r="I854" t="str">
            <v>BUI VAN TRUONG</v>
          </cell>
          <cell r="J854" t="str">
            <v>철근공</v>
          </cell>
          <cell r="K854" t="str">
            <v>석방</v>
          </cell>
          <cell r="O854">
            <v>42933</v>
          </cell>
          <cell r="R854">
            <v>46028</v>
          </cell>
          <cell r="S854">
            <v>46028</v>
          </cell>
          <cell r="T854">
            <v>46028</v>
          </cell>
          <cell r="U854" t="str">
            <v>K0470813</v>
          </cell>
          <cell r="V854" t="str">
            <v>철근공</v>
          </cell>
          <cell r="W854" t="str">
            <v>베트남</v>
          </cell>
        </row>
        <row r="855">
          <cell r="A855" t="str">
            <v>웬반다이</v>
          </cell>
          <cell r="C855" t="str">
            <v>970509-5</v>
          </cell>
          <cell r="D855" t="str">
            <v>010-5151-9063</v>
          </cell>
          <cell r="E855">
            <v>192000</v>
          </cell>
          <cell r="F855" t="str">
            <v>남</v>
          </cell>
          <cell r="G855">
            <v>30</v>
          </cell>
          <cell r="H855" t="str">
            <v>외국인</v>
          </cell>
          <cell r="I855" t="str">
            <v>NGUYEN VAN TAY</v>
          </cell>
          <cell r="J855" t="str">
            <v>철근공</v>
          </cell>
          <cell r="K855" t="str">
            <v>석방</v>
          </cell>
          <cell r="O855">
            <v>43759</v>
          </cell>
          <cell r="R855">
            <v>46028</v>
          </cell>
          <cell r="S855">
            <v>46028</v>
          </cell>
          <cell r="T855">
            <v>46028</v>
          </cell>
          <cell r="U855" t="str">
            <v>C2250690</v>
          </cell>
          <cell r="V855" t="str">
            <v>철근공</v>
          </cell>
          <cell r="W855" t="str">
            <v>베트남</v>
          </cell>
        </row>
        <row r="856">
          <cell r="A856" t="str">
            <v>반드영</v>
          </cell>
          <cell r="C856" t="str">
            <v>840225-5</v>
          </cell>
          <cell r="D856" t="str">
            <v>010-6507-6728</v>
          </cell>
          <cell r="E856">
            <v>192000</v>
          </cell>
          <cell r="F856" t="str">
            <v>남</v>
          </cell>
          <cell r="G856">
            <v>43</v>
          </cell>
          <cell r="H856" t="str">
            <v>외국인</v>
          </cell>
          <cell r="I856" t="str">
            <v>DUONG XUAN TRUONG</v>
          </cell>
          <cell r="J856" t="str">
            <v>철근공</v>
          </cell>
          <cell r="K856" t="str">
            <v>석방</v>
          </cell>
          <cell r="O856">
            <v>45589</v>
          </cell>
          <cell r="R856">
            <v>46028</v>
          </cell>
          <cell r="S856">
            <v>46028</v>
          </cell>
          <cell r="T856">
            <v>46028</v>
          </cell>
          <cell r="U856" t="str">
            <v>E03897692</v>
          </cell>
          <cell r="V856" t="str">
            <v>철근공</v>
          </cell>
          <cell r="W856" t="str">
            <v>베트남</v>
          </cell>
        </row>
        <row r="857">
          <cell r="A857" t="str">
            <v>원반동</v>
          </cell>
          <cell r="C857" t="str">
            <v>961219-5</v>
          </cell>
          <cell r="D857" t="str">
            <v>010-9821-9899</v>
          </cell>
          <cell r="E857">
            <v>192000</v>
          </cell>
          <cell r="F857" t="str">
            <v>남</v>
          </cell>
          <cell r="G857">
            <v>31</v>
          </cell>
          <cell r="H857" t="str">
            <v>외국인</v>
          </cell>
          <cell r="I857" t="str">
            <v>NGUYEN VAN DONG</v>
          </cell>
          <cell r="J857" t="str">
            <v>철근공</v>
          </cell>
          <cell r="K857" t="str">
            <v>석방</v>
          </cell>
          <cell r="O857">
            <v>43770</v>
          </cell>
          <cell r="R857">
            <v>46028</v>
          </cell>
          <cell r="S857">
            <v>46028</v>
          </cell>
          <cell r="T857">
            <v>46028</v>
          </cell>
          <cell r="U857" t="str">
            <v>Q00403887</v>
          </cell>
          <cell r="V857" t="str">
            <v>철근공</v>
          </cell>
          <cell r="W857" t="str">
            <v>베트남</v>
          </cell>
        </row>
        <row r="858">
          <cell r="A858" t="str">
            <v>웬순국드안</v>
          </cell>
          <cell r="C858" t="str">
            <v>000924-5</v>
          </cell>
          <cell r="D858" t="str">
            <v>010-5917-9600</v>
          </cell>
          <cell r="E858">
            <v>192000</v>
          </cell>
          <cell r="F858" t="str">
            <v>남</v>
          </cell>
          <cell r="G858">
            <v>27</v>
          </cell>
          <cell r="H858" t="str">
            <v>외국인</v>
          </cell>
          <cell r="I858" t="str">
            <v>NGUYEN XUAN QUOC TUAN</v>
          </cell>
          <cell r="J858" t="str">
            <v>철근공</v>
          </cell>
          <cell r="K858" t="str">
            <v>석방</v>
          </cell>
          <cell r="O858">
            <v>43873</v>
          </cell>
          <cell r="R858">
            <v>46028</v>
          </cell>
          <cell r="S858">
            <v>46028</v>
          </cell>
          <cell r="T858">
            <v>46028</v>
          </cell>
          <cell r="U858" t="str">
            <v>C8822159</v>
          </cell>
          <cell r="V858" t="str">
            <v>철근공</v>
          </cell>
          <cell r="W858" t="str">
            <v>베트남</v>
          </cell>
        </row>
        <row r="859">
          <cell r="A859" t="str">
            <v>잔황비</v>
          </cell>
          <cell r="C859" t="str">
            <v>010808-5</v>
          </cell>
          <cell r="D859" t="str">
            <v>010-7544-9879</v>
          </cell>
          <cell r="E859">
            <v>192000</v>
          </cell>
          <cell r="F859" t="str">
            <v>남</v>
          </cell>
          <cell r="G859">
            <v>26</v>
          </cell>
          <cell r="H859" t="str">
            <v>외국인</v>
          </cell>
          <cell r="I859" t="str">
            <v>TRAN HOANG VI</v>
          </cell>
          <cell r="J859" t="str">
            <v>철근공</v>
          </cell>
          <cell r="K859" t="str">
            <v>석방</v>
          </cell>
          <cell r="O859">
            <v>43987</v>
          </cell>
          <cell r="R859">
            <v>46028</v>
          </cell>
          <cell r="S859">
            <v>46028</v>
          </cell>
          <cell r="T859">
            <v>46028</v>
          </cell>
          <cell r="U859" t="str">
            <v>C5728123</v>
          </cell>
          <cell r="V859" t="str">
            <v>철근공</v>
          </cell>
          <cell r="W859" t="str">
            <v>베트남</v>
          </cell>
        </row>
        <row r="860">
          <cell r="A860" t="str">
            <v>펀탄득</v>
          </cell>
          <cell r="C860" t="str">
            <v>000113-5</v>
          </cell>
          <cell r="D860" t="str">
            <v>010-7203-1998</v>
          </cell>
          <cell r="E860">
            <v>192000</v>
          </cell>
          <cell r="F860" t="str">
            <v>남</v>
          </cell>
          <cell r="G860">
            <v>27</v>
          </cell>
          <cell r="H860" t="str">
            <v>외국인</v>
          </cell>
          <cell r="I860" t="str">
            <v>PHAN THANH DUC</v>
          </cell>
          <cell r="J860" t="str">
            <v>철근공</v>
          </cell>
          <cell r="K860" t="str">
            <v>석방</v>
          </cell>
          <cell r="O860">
            <v>44127</v>
          </cell>
          <cell r="R860">
            <v>46028</v>
          </cell>
          <cell r="S860">
            <v>46028</v>
          </cell>
          <cell r="T860">
            <v>46028</v>
          </cell>
          <cell r="U860" t="str">
            <v>C5578498</v>
          </cell>
          <cell r="V860" t="str">
            <v>철근공</v>
          </cell>
          <cell r="W860" t="str">
            <v>베트남</v>
          </cell>
        </row>
        <row r="861">
          <cell r="A861" t="str">
            <v>펑두안</v>
          </cell>
          <cell r="C861" t="str">
            <v>800505-5</v>
          </cell>
          <cell r="D861" t="str">
            <v>010-3992-8663</v>
          </cell>
          <cell r="E861">
            <v>192000</v>
          </cell>
          <cell r="F861" t="str">
            <v>남</v>
          </cell>
          <cell r="G861">
            <v>47</v>
          </cell>
          <cell r="H861" t="str">
            <v>외국인</v>
          </cell>
          <cell r="I861" t="str">
            <v>NGUYEN PHUONG TOAN</v>
          </cell>
          <cell r="J861" t="str">
            <v>철근공</v>
          </cell>
          <cell r="K861" t="str">
            <v>석방</v>
          </cell>
          <cell r="O861">
            <v>43586</v>
          </cell>
          <cell r="R861">
            <v>46028</v>
          </cell>
          <cell r="S861">
            <v>46028</v>
          </cell>
          <cell r="T861">
            <v>46028</v>
          </cell>
          <cell r="U861" t="str">
            <v>N2298810</v>
          </cell>
          <cell r="V861" t="str">
            <v>철근공</v>
          </cell>
          <cell r="W861" t="str">
            <v>베트남</v>
          </cell>
        </row>
        <row r="862">
          <cell r="A862" t="str">
            <v>황반투안</v>
          </cell>
          <cell r="C862" t="str">
            <v>911005-5</v>
          </cell>
          <cell r="D862" t="str">
            <v>010-9185-9391</v>
          </cell>
          <cell r="E862">
            <v>192000</v>
          </cell>
          <cell r="F862" t="str">
            <v>남</v>
          </cell>
          <cell r="G862">
            <v>36</v>
          </cell>
          <cell r="H862" t="str">
            <v>외국인</v>
          </cell>
          <cell r="I862" t="str">
            <v>HOANG VAN THUAN</v>
          </cell>
          <cell r="J862" t="str">
            <v>철근공</v>
          </cell>
          <cell r="K862" t="str">
            <v>석방</v>
          </cell>
          <cell r="O862">
            <v>43542</v>
          </cell>
          <cell r="R862">
            <v>46028</v>
          </cell>
          <cell r="S862">
            <v>46028</v>
          </cell>
          <cell r="T862">
            <v>46028</v>
          </cell>
          <cell r="U862" t="str">
            <v>C5565427</v>
          </cell>
          <cell r="V862" t="str">
            <v>철근공</v>
          </cell>
          <cell r="W862" t="str">
            <v>베트남</v>
          </cell>
        </row>
        <row r="863">
          <cell r="A863" t="str">
            <v>뉴반단</v>
          </cell>
          <cell r="C863" t="str">
            <v>941020-5</v>
          </cell>
          <cell r="D863" t="str">
            <v>010-8339-8361</v>
          </cell>
          <cell r="E863">
            <v>192000</v>
          </cell>
          <cell r="F863" t="str">
            <v>남</v>
          </cell>
          <cell r="G863">
            <v>33</v>
          </cell>
          <cell r="H863" t="str">
            <v>외국인</v>
          </cell>
          <cell r="I863" t="str">
            <v>LUU VAN TRAN</v>
          </cell>
          <cell r="J863" t="str">
            <v>철근공</v>
          </cell>
          <cell r="K863" t="str">
            <v>바하팀</v>
          </cell>
          <cell r="O863">
            <v>44585</v>
          </cell>
          <cell r="Q863" t="str">
            <v/>
          </cell>
          <cell r="R863">
            <v>46036</v>
          </cell>
          <cell r="S863">
            <v>46036</v>
          </cell>
          <cell r="T863">
            <v>46036</v>
          </cell>
          <cell r="U863" t="str">
            <v>C7051899</v>
          </cell>
          <cell r="V863" t="str">
            <v>철근공</v>
          </cell>
          <cell r="W863" t="str">
            <v>베트남</v>
          </cell>
        </row>
        <row r="864">
          <cell r="A864" t="str">
            <v>판낫딴</v>
          </cell>
          <cell r="C864" t="str">
            <v>980809-5</v>
          </cell>
          <cell r="D864" t="str">
            <v>010-6816-6688</v>
          </cell>
          <cell r="E864">
            <v>192000</v>
          </cell>
          <cell r="F864" t="str">
            <v>남</v>
          </cell>
          <cell r="G864">
            <v>29</v>
          </cell>
          <cell r="H864" t="str">
            <v>외국인</v>
          </cell>
          <cell r="I864" t="str">
            <v>PHAN NHAT TAN</v>
          </cell>
          <cell r="J864" t="str">
            <v>철근공</v>
          </cell>
          <cell r="K864" t="str">
            <v>바하팀</v>
          </cell>
          <cell r="O864">
            <v>44357</v>
          </cell>
          <cell r="R864">
            <v>46036</v>
          </cell>
          <cell r="S864">
            <v>46036</v>
          </cell>
          <cell r="T864">
            <v>46036</v>
          </cell>
          <cell r="U864" t="str">
            <v>C9562896</v>
          </cell>
          <cell r="V864" t="str">
            <v>철근공</v>
          </cell>
          <cell r="W864" t="str">
            <v>베트남</v>
          </cell>
        </row>
        <row r="865">
          <cell r="A865" t="str">
            <v>팜곡벳</v>
          </cell>
          <cell r="C865" t="str">
            <v>000803-5</v>
          </cell>
          <cell r="D865" t="str">
            <v>010-5716-5681</v>
          </cell>
          <cell r="E865">
            <v>192000</v>
          </cell>
          <cell r="F865" t="str">
            <v>남</v>
          </cell>
          <cell r="G865">
            <v>27</v>
          </cell>
          <cell r="H865" t="str">
            <v>외국인</v>
          </cell>
          <cell r="I865" t="str">
            <v>PHAM QUOC VIET</v>
          </cell>
          <cell r="J865" t="str">
            <v>철근공</v>
          </cell>
          <cell r="K865" t="str">
            <v>바하팀</v>
          </cell>
          <cell r="L865" t="str">
            <v>724-910510-44707</v>
          </cell>
          <cell r="M865" t="str">
            <v>하나은행</v>
          </cell>
          <cell r="N865" t="str">
            <v>PHAM QUOC VIET</v>
          </cell>
          <cell r="O865">
            <v>44049</v>
          </cell>
          <cell r="R865">
            <v>46036</v>
          </cell>
          <cell r="S865">
            <v>46036</v>
          </cell>
          <cell r="T865">
            <v>46036</v>
          </cell>
          <cell r="U865" t="str">
            <v>C5773683</v>
          </cell>
          <cell r="V865" t="str">
            <v>철근공</v>
          </cell>
          <cell r="W865" t="str">
            <v>베트남</v>
          </cell>
        </row>
        <row r="866">
          <cell r="F866" t="str">
            <v/>
          </cell>
          <cell r="G866" t="str">
            <v/>
          </cell>
          <cell r="H866" t="str">
            <v/>
          </cell>
          <cell r="Q866" t="str">
            <v/>
          </cell>
        </row>
        <row r="867">
          <cell r="A867" t="str">
            <v>레넛청</v>
          </cell>
          <cell r="C867" t="str">
            <v>911023-5340017</v>
          </cell>
          <cell r="D867" t="str">
            <v>010-5846-6630</v>
          </cell>
          <cell r="E867">
            <v>192000</v>
          </cell>
          <cell r="F867" t="str">
            <v>남</v>
          </cell>
          <cell r="G867">
            <v>36</v>
          </cell>
          <cell r="H867" t="str">
            <v>외국인</v>
          </cell>
          <cell r="I867" t="str">
            <v>LE NHAT TRUONG</v>
          </cell>
          <cell r="J867" t="str">
            <v>철근공</v>
          </cell>
          <cell r="K867" t="str">
            <v>바하팀</v>
          </cell>
          <cell r="O867">
            <v>43325</v>
          </cell>
          <cell r="P867" t="str">
            <v>결혼이민F6</v>
          </cell>
          <cell r="Q867">
            <v>46107</v>
          </cell>
          <cell r="R867">
            <v>46048</v>
          </cell>
          <cell r="S867">
            <v>46048</v>
          </cell>
          <cell r="T867">
            <v>46048</v>
          </cell>
          <cell r="V867" t="str">
            <v>철근공</v>
          </cell>
          <cell r="W867" t="str">
            <v>베트남</v>
          </cell>
        </row>
        <row r="868">
          <cell r="A868" t="str">
            <v>쩐중뜨엉</v>
          </cell>
          <cell r="C868" t="str">
            <v>970727-5</v>
          </cell>
          <cell r="D868" t="str">
            <v>010-8096-3647</v>
          </cell>
          <cell r="E868">
            <v>192000</v>
          </cell>
          <cell r="F868" t="str">
            <v>남</v>
          </cell>
          <cell r="G868">
            <v>30</v>
          </cell>
          <cell r="H868" t="str">
            <v>외국인</v>
          </cell>
          <cell r="I868" t="str">
            <v>TRAN TRUNG DUONG</v>
          </cell>
          <cell r="J868" t="str">
            <v>철근공</v>
          </cell>
          <cell r="K868" t="str">
            <v>바하팀</v>
          </cell>
          <cell r="L868" t="str">
            <v>346-910702-62607</v>
          </cell>
          <cell r="M868" t="str">
            <v>하나은행</v>
          </cell>
          <cell r="N868" t="str">
            <v>TRAN TRUNG DUONG</v>
          </cell>
          <cell r="Q868" t="str">
            <v/>
          </cell>
          <cell r="S868">
            <v>45923</v>
          </cell>
          <cell r="T868">
            <v>45923</v>
          </cell>
          <cell r="U868" t="str">
            <v>C1658422</v>
          </cell>
          <cell r="V868" t="str">
            <v>철근공</v>
          </cell>
          <cell r="W868" t="str">
            <v>베트남</v>
          </cell>
        </row>
        <row r="869">
          <cell r="A869" t="str">
            <v>당반룩</v>
          </cell>
          <cell r="C869" t="str">
            <v>031011-5</v>
          </cell>
          <cell r="D869" t="str">
            <v>010-7400-6551</v>
          </cell>
          <cell r="E869">
            <v>192000</v>
          </cell>
          <cell r="F869" t="str">
            <v>남</v>
          </cell>
          <cell r="G869">
            <v>24</v>
          </cell>
          <cell r="H869" t="str">
            <v>외국인</v>
          </cell>
          <cell r="I869" t="str">
            <v>DANG VAN LUC</v>
          </cell>
          <cell r="J869" t="str">
            <v>철근공</v>
          </cell>
          <cell r="K869" t="str">
            <v>바하팀</v>
          </cell>
          <cell r="O869">
            <v>44418</v>
          </cell>
          <cell r="R869">
            <v>46048</v>
          </cell>
          <cell r="S869">
            <v>46048</v>
          </cell>
          <cell r="T869">
            <v>46048</v>
          </cell>
          <cell r="U869" t="str">
            <v>P00071529</v>
          </cell>
          <cell r="V869" t="str">
            <v>철근공</v>
          </cell>
          <cell r="W869" t="str">
            <v>베트남</v>
          </cell>
        </row>
        <row r="870">
          <cell r="A870" t="str">
            <v>디엔탄</v>
          </cell>
          <cell r="C870" t="str">
            <v>820510-5</v>
          </cell>
          <cell r="D870" t="str">
            <v>010-6878-8898</v>
          </cell>
          <cell r="E870">
            <v>192000</v>
          </cell>
          <cell r="F870" t="str">
            <v>남</v>
          </cell>
          <cell r="G870">
            <v>45</v>
          </cell>
          <cell r="H870" t="str">
            <v>외국인</v>
          </cell>
          <cell r="I870" t="str">
            <v>DAO TIEN THANH</v>
          </cell>
          <cell r="J870" t="str">
            <v>철근공</v>
          </cell>
          <cell r="K870" t="str">
            <v>바하팀</v>
          </cell>
          <cell r="O870">
            <v>43475</v>
          </cell>
          <cell r="R870">
            <v>46048</v>
          </cell>
          <cell r="S870">
            <v>46048</v>
          </cell>
          <cell r="T870">
            <v>46048</v>
          </cell>
          <cell r="U870" t="str">
            <v>C9481501</v>
          </cell>
          <cell r="V870" t="str">
            <v>철근공</v>
          </cell>
          <cell r="W870" t="str">
            <v>베트남</v>
          </cell>
        </row>
        <row r="871">
          <cell r="A871" t="str">
            <v>레반홍</v>
          </cell>
          <cell r="C871" t="str">
            <v>910606-5</v>
          </cell>
          <cell r="D871" t="str">
            <v>010-7914-2333</v>
          </cell>
          <cell r="E871">
            <v>192000</v>
          </cell>
          <cell r="F871" t="str">
            <v>남</v>
          </cell>
          <cell r="G871">
            <v>36</v>
          </cell>
          <cell r="H871" t="str">
            <v>외국인</v>
          </cell>
          <cell r="I871" t="str">
            <v>LE VAN HUNG</v>
          </cell>
          <cell r="J871" t="str">
            <v>철근공</v>
          </cell>
          <cell r="K871" t="str">
            <v>바하팀</v>
          </cell>
          <cell r="O871">
            <v>43759</v>
          </cell>
          <cell r="R871">
            <v>46048</v>
          </cell>
          <cell r="S871">
            <v>46048</v>
          </cell>
          <cell r="T871">
            <v>46048</v>
          </cell>
          <cell r="U871" t="str">
            <v>C7973679</v>
          </cell>
          <cell r="V871" t="str">
            <v>철근공</v>
          </cell>
          <cell r="W871" t="str">
            <v>베트남</v>
          </cell>
        </row>
        <row r="872">
          <cell r="A872" t="str">
            <v>레홍선</v>
          </cell>
          <cell r="C872" t="str">
            <v>970212-5</v>
          </cell>
          <cell r="D872" t="str">
            <v>010-5778-3606</v>
          </cell>
          <cell r="E872">
            <v>192000</v>
          </cell>
          <cell r="F872" t="str">
            <v>남</v>
          </cell>
          <cell r="G872">
            <v>30</v>
          </cell>
          <cell r="H872" t="str">
            <v>외국인</v>
          </cell>
          <cell r="I872" t="str">
            <v>LE HONG SON</v>
          </cell>
          <cell r="J872" t="str">
            <v>철근공</v>
          </cell>
          <cell r="K872" t="str">
            <v>바하팀</v>
          </cell>
          <cell r="O872">
            <v>44160</v>
          </cell>
          <cell r="R872">
            <v>46048</v>
          </cell>
          <cell r="S872">
            <v>46048</v>
          </cell>
          <cell r="T872">
            <v>46048</v>
          </cell>
          <cell r="U872" t="str">
            <v>Q00665323</v>
          </cell>
          <cell r="V872" t="str">
            <v>철근공</v>
          </cell>
          <cell r="W872" t="str">
            <v>베트남</v>
          </cell>
        </row>
        <row r="873">
          <cell r="A873" t="str">
            <v>원반남</v>
          </cell>
          <cell r="C873" t="str">
            <v>900202-5</v>
          </cell>
          <cell r="D873" t="str">
            <v>010-3406-6888</v>
          </cell>
          <cell r="E873">
            <v>192000</v>
          </cell>
          <cell r="F873" t="str">
            <v>남</v>
          </cell>
          <cell r="G873">
            <v>37</v>
          </cell>
          <cell r="H873" t="str">
            <v>외국인</v>
          </cell>
          <cell r="I873" t="str">
            <v>NGUYEN VAN NAM</v>
          </cell>
          <cell r="J873" t="str">
            <v>철근공</v>
          </cell>
          <cell r="K873" t="str">
            <v>바하팀</v>
          </cell>
          <cell r="O873">
            <v>44323</v>
          </cell>
          <cell r="R873">
            <v>46048</v>
          </cell>
          <cell r="S873">
            <v>46048</v>
          </cell>
          <cell r="T873">
            <v>46048</v>
          </cell>
          <cell r="U873" t="str">
            <v>C8307921</v>
          </cell>
          <cell r="V873" t="str">
            <v>철근공</v>
          </cell>
          <cell r="W873" t="str">
            <v>베트남</v>
          </cell>
        </row>
        <row r="874">
          <cell r="A874" t="str">
            <v>판반트엉</v>
          </cell>
          <cell r="C874" t="str">
            <v>940711-5</v>
          </cell>
          <cell r="D874" t="str">
            <v>010-3265-2666</v>
          </cell>
          <cell r="E874">
            <v>192000</v>
          </cell>
          <cell r="F874" t="str">
            <v>남</v>
          </cell>
          <cell r="G874">
            <v>33</v>
          </cell>
          <cell r="H874" t="str">
            <v>외국인</v>
          </cell>
          <cell r="I874" t="str">
            <v>PHAN VAN THUONG</v>
          </cell>
          <cell r="J874" t="str">
            <v>철근공</v>
          </cell>
          <cell r="K874" t="str">
            <v>바하팀</v>
          </cell>
          <cell r="O874">
            <v>43862</v>
          </cell>
          <cell r="R874">
            <v>46048</v>
          </cell>
          <cell r="S874">
            <v>46048</v>
          </cell>
          <cell r="T874">
            <v>46048</v>
          </cell>
          <cell r="U874" t="str">
            <v>C4650162</v>
          </cell>
          <cell r="V874" t="str">
            <v>철근공</v>
          </cell>
          <cell r="W874" t="str">
            <v>베트남</v>
          </cell>
        </row>
        <row r="875">
          <cell r="A875" t="str">
            <v>판반하이</v>
          </cell>
          <cell r="C875" t="str">
            <v>881010-5</v>
          </cell>
          <cell r="D875" t="str">
            <v>010-9582-5111</v>
          </cell>
          <cell r="E875">
            <v>192000</v>
          </cell>
          <cell r="F875" t="str">
            <v>남</v>
          </cell>
          <cell r="G875">
            <v>39</v>
          </cell>
          <cell r="H875" t="str">
            <v>외국인</v>
          </cell>
          <cell r="I875" t="str">
            <v>PHAN VAN HAI</v>
          </cell>
          <cell r="J875" t="str">
            <v>철근공</v>
          </cell>
          <cell r="K875" t="str">
            <v>바하팀</v>
          </cell>
          <cell r="O875">
            <v>43480</v>
          </cell>
          <cell r="R875">
            <v>46048</v>
          </cell>
          <cell r="S875">
            <v>46048</v>
          </cell>
          <cell r="T875">
            <v>46048</v>
          </cell>
          <cell r="U875" t="str">
            <v>C3837894</v>
          </cell>
          <cell r="V875" t="str">
            <v>철근공</v>
          </cell>
          <cell r="W875" t="str">
            <v>베트남</v>
          </cell>
        </row>
        <row r="876">
          <cell r="A876" t="str">
            <v>안두안</v>
          </cell>
          <cell r="C876" t="str">
            <v>791014-5</v>
          </cell>
          <cell r="D876" t="str">
            <v>010-7632-6429</v>
          </cell>
          <cell r="E876">
            <v>192000</v>
          </cell>
          <cell r="F876" t="str">
            <v>남</v>
          </cell>
          <cell r="G876">
            <v>48</v>
          </cell>
          <cell r="H876" t="str">
            <v>외국인</v>
          </cell>
          <cell r="I876" t="str">
            <v>NGUYEN ANH TUAN</v>
          </cell>
          <cell r="J876" t="str">
            <v>철근공</v>
          </cell>
          <cell r="K876" t="str">
            <v>바하팀</v>
          </cell>
          <cell r="O876">
            <v>43518</v>
          </cell>
          <cell r="R876">
            <v>46048</v>
          </cell>
          <cell r="S876">
            <v>46048</v>
          </cell>
          <cell r="T876">
            <v>46048</v>
          </cell>
          <cell r="U876" t="str">
            <v>N1967159</v>
          </cell>
          <cell r="V876" t="str">
            <v>철근공</v>
          </cell>
          <cell r="W876" t="str">
            <v>베트남</v>
          </cell>
        </row>
        <row r="877">
          <cell r="A877" t="str">
            <v>원반갑</v>
          </cell>
          <cell r="C877" t="str">
            <v>910101-5</v>
          </cell>
          <cell r="D877" t="str">
            <v>010-4079-5256</v>
          </cell>
          <cell r="E877">
            <v>192000</v>
          </cell>
          <cell r="F877" t="str">
            <v>남</v>
          </cell>
          <cell r="G877">
            <v>36</v>
          </cell>
          <cell r="H877" t="str">
            <v>외국인</v>
          </cell>
          <cell r="I877" t="str">
            <v>NGUYEN VAN GAP</v>
          </cell>
          <cell r="J877" t="str">
            <v>철근공</v>
          </cell>
          <cell r="K877" t="str">
            <v>바하팀</v>
          </cell>
          <cell r="O877">
            <v>43800</v>
          </cell>
          <cell r="R877">
            <v>46048</v>
          </cell>
          <cell r="S877">
            <v>46048</v>
          </cell>
          <cell r="T877">
            <v>46048</v>
          </cell>
          <cell r="U877" t="str">
            <v>C7355016</v>
          </cell>
          <cell r="V877" t="str">
            <v>철근공</v>
          </cell>
          <cell r="W877" t="str">
            <v>베트남</v>
          </cell>
        </row>
        <row r="878">
          <cell r="A878" t="str">
            <v>반흥</v>
          </cell>
          <cell r="C878" t="str">
            <v>870823-5</v>
          </cell>
          <cell r="D878" t="str">
            <v>010-2669-8791</v>
          </cell>
          <cell r="E878">
            <v>192000</v>
          </cell>
          <cell r="F878" t="str">
            <v>남</v>
          </cell>
          <cell r="G878">
            <v>40</v>
          </cell>
          <cell r="H878" t="str">
            <v>외국인</v>
          </cell>
          <cell r="I878" t="str">
            <v>NGUYEN VAN HUNG</v>
          </cell>
          <cell r="J878" t="str">
            <v>철근공</v>
          </cell>
          <cell r="K878" t="str">
            <v>바하팀</v>
          </cell>
          <cell r="O878">
            <v>42745</v>
          </cell>
          <cell r="R878">
            <v>46048</v>
          </cell>
          <cell r="S878">
            <v>46048</v>
          </cell>
          <cell r="T878">
            <v>46048</v>
          </cell>
          <cell r="U878" t="str">
            <v>Q00232666</v>
          </cell>
          <cell r="V878" t="str">
            <v>철근공</v>
          </cell>
          <cell r="W878" t="str">
            <v>베트남</v>
          </cell>
        </row>
        <row r="879">
          <cell r="A879" t="str">
            <v>판반응웬</v>
          </cell>
          <cell r="C879" t="str">
            <v>980128-5</v>
          </cell>
          <cell r="D879" t="str">
            <v>010-7726-0668</v>
          </cell>
          <cell r="E879">
            <v>192000</v>
          </cell>
          <cell r="F879" t="str">
            <v>남</v>
          </cell>
          <cell r="G879">
            <v>29</v>
          </cell>
          <cell r="H879" t="str">
            <v>외국인</v>
          </cell>
          <cell r="I879" t="str">
            <v>PHAN VAN NGUYEN</v>
          </cell>
          <cell r="J879" t="str">
            <v>철근공</v>
          </cell>
          <cell r="K879" t="str">
            <v>바하팀</v>
          </cell>
          <cell r="O879">
            <v>44127</v>
          </cell>
          <cell r="Q879" t="str">
            <v/>
          </cell>
          <cell r="R879">
            <v>46048</v>
          </cell>
          <cell r="S879">
            <v>46048</v>
          </cell>
          <cell r="T879">
            <v>46048</v>
          </cell>
          <cell r="U879" t="str">
            <v>N2125078</v>
          </cell>
          <cell r="V879" t="str">
            <v>철근공</v>
          </cell>
          <cell r="W879" t="str">
            <v>베트남</v>
          </cell>
        </row>
        <row r="880">
          <cell r="F880" t="str">
            <v/>
          </cell>
          <cell r="G880" t="str">
            <v/>
          </cell>
          <cell r="H880" t="str">
            <v/>
          </cell>
          <cell r="Q880" t="str">
            <v/>
          </cell>
        </row>
        <row r="881">
          <cell r="A881" t="str">
            <v>영반지</v>
          </cell>
          <cell r="B881" t="str">
            <v>충북 충주시 봉방동5</v>
          </cell>
          <cell r="C881" t="str">
            <v>890226-5</v>
          </cell>
          <cell r="D881" t="str">
            <v>010-6891-3556</v>
          </cell>
          <cell r="E881">
            <v>192000</v>
          </cell>
          <cell r="F881" t="str">
            <v>남</v>
          </cell>
          <cell r="G881">
            <v>38</v>
          </cell>
          <cell r="H881" t="str">
            <v>외국인</v>
          </cell>
          <cell r="I881" t="str">
            <v>DUONG VAN CHI</v>
          </cell>
          <cell r="J881" t="str">
            <v>철근공</v>
          </cell>
          <cell r="K881" t="str">
            <v>바하팀</v>
          </cell>
          <cell r="O881">
            <v>44249</v>
          </cell>
          <cell r="R881">
            <v>46052</v>
          </cell>
          <cell r="S881">
            <v>46052</v>
          </cell>
          <cell r="T881">
            <v>46052</v>
          </cell>
          <cell r="U881" t="str">
            <v>C9481730</v>
          </cell>
          <cell r="V881" t="str">
            <v>철근공</v>
          </cell>
          <cell r="W881" t="str">
            <v>베트남</v>
          </cell>
        </row>
        <row r="882">
          <cell r="A882" t="str">
            <v>엔반싱</v>
          </cell>
          <cell r="B882" t="str">
            <v>충북 충주시 봉방동5</v>
          </cell>
          <cell r="C882" t="str">
            <v>811206-5</v>
          </cell>
          <cell r="D882" t="str">
            <v>010-5694-6792</v>
          </cell>
          <cell r="E882">
            <v>192000</v>
          </cell>
          <cell r="F882" t="str">
            <v>남</v>
          </cell>
          <cell r="G882">
            <v>46</v>
          </cell>
          <cell r="H882" t="str">
            <v>외국인</v>
          </cell>
          <cell r="I882" t="str">
            <v>NGUYEN BA SINH</v>
          </cell>
          <cell r="J882" t="str">
            <v>철근공</v>
          </cell>
          <cell r="K882" t="str">
            <v>바하팀</v>
          </cell>
          <cell r="O882">
            <v>43745</v>
          </cell>
          <cell r="R882">
            <v>46052</v>
          </cell>
          <cell r="S882">
            <v>46052</v>
          </cell>
          <cell r="T882">
            <v>46052</v>
          </cell>
          <cell r="U882" t="str">
            <v>C9929565</v>
          </cell>
          <cell r="V882" t="str">
            <v>철근공</v>
          </cell>
          <cell r="W882" t="str">
            <v>베트남</v>
          </cell>
        </row>
        <row r="883">
          <cell r="A883" t="str">
            <v>엔비엣광</v>
          </cell>
          <cell r="B883" t="str">
            <v>충주시 삼원로 17</v>
          </cell>
          <cell r="C883" t="str">
            <v>030412-5</v>
          </cell>
          <cell r="D883" t="str">
            <v>010-5858-0665</v>
          </cell>
          <cell r="E883">
            <v>192000</v>
          </cell>
          <cell r="F883" t="str">
            <v>남</v>
          </cell>
          <cell r="G883">
            <v>24</v>
          </cell>
          <cell r="H883" t="str">
            <v>외국인</v>
          </cell>
          <cell r="I883" t="str">
            <v>NGUYEN VIET QUANG</v>
          </cell>
          <cell r="J883" t="str">
            <v>철근공</v>
          </cell>
          <cell r="K883" t="str">
            <v>바하팀</v>
          </cell>
          <cell r="O883">
            <v>44508</v>
          </cell>
          <cell r="R883">
            <v>46052</v>
          </cell>
          <cell r="S883">
            <v>46052</v>
          </cell>
          <cell r="T883">
            <v>46052</v>
          </cell>
          <cell r="U883" t="str">
            <v>C9783137</v>
          </cell>
          <cell r="V883" t="str">
            <v>철근공</v>
          </cell>
          <cell r="W883" t="str">
            <v>베트남</v>
          </cell>
        </row>
        <row r="884">
          <cell r="A884" t="str">
            <v>엔응옥잠</v>
          </cell>
          <cell r="B884" t="str">
            <v>충북 충주시 봉방동5</v>
          </cell>
          <cell r="C884" t="str">
            <v>030113-5</v>
          </cell>
          <cell r="D884" t="str">
            <v>010-6619-6686</v>
          </cell>
          <cell r="E884">
            <v>192000</v>
          </cell>
          <cell r="F884" t="str">
            <v>남</v>
          </cell>
          <cell r="G884">
            <v>24</v>
          </cell>
          <cell r="H884" t="str">
            <v>외국인</v>
          </cell>
          <cell r="I884" t="str">
            <v>NGUYEN NGOC GIAM</v>
          </cell>
          <cell r="J884" t="str">
            <v>철근공</v>
          </cell>
          <cell r="K884" t="str">
            <v>바하팀</v>
          </cell>
          <cell r="O884">
            <v>44600</v>
          </cell>
          <cell r="R884">
            <v>46052</v>
          </cell>
          <cell r="S884">
            <v>46052</v>
          </cell>
          <cell r="T884">
            <v>46052</v>
          </cell>
          <cell r="U884" t="str">
            <v>C9792108</v>
          </cell>
          <cell r="V884" t="str">
            <v>철근공</v>
          </cell>
          <cell r="W884" t="str">
            <v>베트남</v>
          </cell>
        </row>
        <row r="885">
          <cell r="A885" t="str">
            <v>잔수안타이</v>
          </cell>
          <cell r="B885" t="str">
            <v>충북 충주시 주봉 4239</v>
          </cell>
          <cell r="C885" t="str">
            <v>860513-5</v>
          </cell>
          <cell r="D885" t="str">
            <v>010-7459-2457</v>
          </cell>
          <cell r="E885">
            <v>192000</v>
          </cell>
          <cell r="F885" t="str">
            <v>남</v>
          </cell>
          <cell r="G885">
            <v>41</v>
          </cell>
          <cell r="H885" t="str">
            <v>외국인</v>
          </cell>
          <cell r="I885" t="str">
            <v>TRAN XUAN THAI</v>
          </cell>
          <cell r="J885" t="str">
            <v>철근공</v>
          </cell>
          <cell r="K885" t="str">
            <v>바하팀</v>
          </cell>
          <cell r="O885">
            <v>44175</v>
          </cell>
          <cell r="R885">
            <v>46052</v>
          </cell>
          <cell r="S885">
            <v>46052</v>
          </cell>
          <cell r="T885">
            <v>46052</v>
          </cell>
          <cell r="U885" t="str">
            <v>N1970315</v>
          </cell>
          <cell r="V885" t="str">
            <v>철근공</v>
          </cell>
          <cell r="W885" t="str">
            <v>베트남</v>
          </cell>
        </row>
        <row r="886">
          <cell r="A886" t="str">
            <v>팜반그엉</v>
          </cell>
          <cell r="B886" t="str">
            <v>원주시 북원로 71-1</v>
          </cell>
          <cell r="C886" t="str">
            <v>040105-5</v>
          </cell>
          <cell r="D886" t="str">
            <v>010-7987-5104</v>
          </cell>
          <cell r="E886">
            <v>192000</v>
          </cell>
          <cell r="F886" t="str">
            <v>남</v>
          </cell>
          <cell r="G886">
            <v>23</v>
          </cell>
          <cell r="H886" t="str">
            <v>외국인</v>
          </cell>
          <cell r="I886" t="str">
            <v>PHAM VAN CUONG</v>
          </cell>
          <cell r="J886" t="str">
            <v>철근공</v>
          </cell>
          <cell r="K886" t="str">
            <v>바하팀</v>
          </cell>
          <cell r="O886">
            <v>44799</v>
          </cell>
          <cell r="R886">
            <v>46052</v>
          </cell>
          <cell r="S886">
            <v>46052</v>
          </cell>
          <cell r="T886">
            <v>46052</v>
          </cell>
          <cell r="U886" t="str">
            <v>P00136739</v>
          </cell>
          <cell r="V886" t="str">
            <v>철근공</v>
          </cell>
          <cell r="W886" t="str">
            <v>베트남</v>
          </cell>
        </row>
        <row r="887">
          <cell r="A887" t="str">
            <v>풍중영</v>
          </cell>
          <cell r="B887" t="str">
            <v>충북 충주시 봉방동5</v>
          </cell>
          <cell r="C887" t="str">
            <v>990604-5</v>
          </cell>
          <cell r="D887" t="str">
            <v>010-6672-6886</v>
          </cell>
          <cell r="E887">
            <v>192000</v>
          </cell>
          <cell r="F887" t="str">
            <v>남</v>
          </cell>
          <cell r="G887">
            <v>28</v>
          </cell>
          <cell r="H887" t="str">
            <v>외국인</v>
          </cell>
          <cell r="I887" t="str">
            <v>PHUNG TRUNG DOANH</v>
          </cell>
          <cell r="J887" t="str">
            <v>철근공</v>
          </cell>
          <cell r="K887" t="str">
            <v>바하팀</v>
          </cell>
          <cell r="O887">
            <v>44418</v>
          </cell>
          <cell r="R887">
            <v>46052</v>
          </cell>
          <cell r="S887">
            <v>46052</v>
          </cell>
          <cell r="T887">
            <v>46052</v>
          </cell>
          <cell r="U887" t="str">
            <v>C5498211</v>
          </cell>
          <cell r="V887" t="str">
            <v>철근공</v>
          </cell>
          <cell r="W887" t="str">
            <v>베트남</v>
          </cell>
        </row>
        <row r="888">
          <cell r="A888" t="str">
            <v>웬반융</v>
          </cell>
          <cell r="B888" t="str">
            <v>대전 서구 대동 12-8</v>
          </cell>
          <cell r="C888" t="str">
            <v>930115-5</v>
          </cell>
          <cell r="D888" t="str">
            <v>010-8244-0597</v>
          </cell>
          <cell r="E888">
            <v>192000</v>
          </cell>
          <cell r="F888" t="str">
            <v>남</v>
          </cell>
          <cell r="G888">
            <v>34</v>
          </cell>
          <cell r="H888" t="str">
            <v>외국인</v>
          </cell>
          <cell r="I888" t="str">
            <v>LE ANH TUYEN</v>
          </cell>
          <cell r="J888" t="str">
            <v>철근공</v>
          </cell>
          <cell r="K888" t="str">
            <v>석방팀</v>
          </cell>
          <cell r="O888">
            <v>44732</v>
          </cell>
          <cell r="R888">
            <v>46057</v>
          </cell>
          <cell r="S888">
            <v>46057</v>
          </cell>
          <cell r="T888">
            <v>46057</v>
          </cell>
          <cell r="U888" t="str">
            <v>C3586254</v>
          </cell>
          <cell r="V888" t="str">
            <v>철근공</v>
          </cell>
          <cell r="W888" t="str">
            <v>베트남</v>
          </cell>
        </row>
        <row r="889">
          <cell r="F889" t="str">
            <v/>
          </cell>
          <cell r="G889" t="str">
            <v/>
          </cell>
          <cell r="H889" t="str">
            <v/>
          </cell>
          <cell r="Q889" t="str">
            <v/>
          </cell>
        </row>
        <row r="890">
          <cell r="F890" t="str">
            <v/>
          </cell>
          <cell r="G890" t="str">
            <v/>
          </cell>
          <cell r="H890" t="str">
            <v/>
          </cell>
          <cell r="Q890" t="str">
            <v/>
          </cell>
        </row>
        <row r="891">
          <cell r="A891" t="str">
            <v>썸으러</v>
          </cell>
          <cell r="B891" t="str">
            <v>인천광역시 서인구 청학동</v>
          </cell>
          <cell r="C891" t="str">
            <v>950305-5</v>
          </cell>
          <cell r="D891" t="str">
            <v>010-9597-0669</v>
          </cell>
          <cell r="E891">
            <v>192000</v>
          </cell>
          <cell r="F891" t="str">
            <v>남</v>
          </cell>
          <cell r="G891">
            <v>32</v>
          </cell>
          <cell r="H891" t="str">
            <v>외국인</v>
          </cell>
          <cell r="I891" t="str">
            <v>PRUM SAMRASH</v>
          </cell>
          <cell r="J891" t="str">
            <v>철근공</v>
          </cell>
          <cell r="K891" t="str">
            <v>썸으러팀</v>
          </cell>
          <cell r="L891" t="str">
            <v>398-910672-00507</v>
          </cell>
          <cell r="M891" t="str">
            <v>하나은행</v>
          </cell>
          <cell r="N891" t="str">
            <v>PRUM SAMRASH</v>
          </cell>
          <cell r="O891">
            <v>43506</v>
          </cell>
          <cell r="R891">
            <v>46113</v>
          </cell>
          <cell r="S891">
            <v>46113</v>
          </cell>
          <cell r="T891">
            <v>46113</v>
          </cell>
          <cell r="U891" t="str">
            <v>N02695437</v>
          </cell>
          <cell r="V891" t="str">
            <v>철근공</v>
          </cell>
          <cell r="W891" t="str">
            <v>캄보디아</v>
          </cell>
        </row>
        <row r="892">
          <cell r="A892" t="str">
            <v>기날</v>
          </cell>
          <cell r="C892" t="str">
            <v>890404-5</v>
          </cell>
          <cell r="D892" t="str">
            <v>010-2519-6050</v>
          </cell>
          <cell r="E892">
            <v>192000</v>
          </cell>
          <cell r="F892" t="str">
            <v>남</v>
          </cell>
          <cell r="G892">
            <v>38</v>
          </cell>
          <cell r="H892" t="str">
            <v>외국인</v>
          </cell>
          <cell r="I892" t="str">
            <v>BORIN KINAL</v>
          </cell>
          <cell r="J892" t="str">
            <v>철근공</v>
          </cell>
          <cell r="K892" t="str">
            <v>썸으러팀</v>
          </cell>
          <cell r="O892">
            <v>43052</v>
          </cell>
          <cell r="R892">
            <v>46113</v>
          </cell>
          <cell r="S892">
            <v>46113</v>
          </cell>
          <cell r="T892">
            <v>46113</v>
          </cell>
          <cell r="U892" t="str">
            <v>N02780014</v>
          </cell>
          <cell r="V892" t="str">
            <v>철근공</v>
          </cell>
          <cell r="W892" t="str">
            <v>캄보디아</v>
          </cell>
        </row>
        <row r="893">
          <cell r="A893" t="str">
            <v>리헝</v>
          </cell>
          <cell r="C893" t="str">
            <v>940810-5</v>
          </cell>
          <cell r="D893" t="str">
            <v>010-9799-6349</v>
          </cell>
          <cell r="E893">
            <v>192000</v>
          </cell>
          <cell r="F893" t="str">
            <v>남</v>
          </cell>
          <cell r="G893">
            <v>33</v>
          </cell>
          <cell r="H893" t="str">
            <v>외국인</v>
          </cell>
          <cell r="I893" t="str">
            <v>UT LYHUONG</v>
          </cell>
          <cell r="J893" t="str">
            <v>철근공</v>
          </cell>
          <cell r="K893" t="str">
            <v>썸으러팀</v>
          </cell>
          <cell r="L893" t="str">
            <v>784501-00-493707</v>
          </cell>
          <cell r="M893" t="str">
            <v>국민은행</v>
          </cell>
          <cell r="N893" t="str">
            <v>UT LYHUONG</v>
          </cell>
          <cell r="O893">
            <v>44081</v>
          </cell>
          <cell r="R893">
            <v>46113</v>
          </cell>
          <cell r="S893">
            <v>46113</v>
          </cell>
          <cell r="T893">
            <v>46113</v>
          </cell>
          <cell r="U893" t="str">
            <v>N00086683</v>
          </cell>
          <cell r="V893" t="str">
            <v>철근공</v>
          </cell>
          <cell r="W893" t="str">
            <v>캄보디아</v>
          </cell>
        </row>
        <row r="894">
          <cell r="A894" t="str">
            <v>릿스립</v>
          </cell>
          <cell r="C894" t="str">
            <v>951214-5</v>
          </cell>
          <cell r="D894" t="str">
            <v>010-9803-8749</v>
          </cell>
          <cell r="E894">
            <v>192000</v>
          </cell>
          <cell r="F894" t="str">
            <v>남</v>
          </cell>
          <cell r="G894">
            <v>32</v>
          </cell>
          <cell r="H894" t="str">
            <v>외국인</v>
          </cell>
          <cell r="I894" t="str">
            <v>LIS LEAB</v>
          </cell>
          <cell r="J894" t="str">
            <v>철근공</v>
          </cell>
          <cell r="K894" t="str">
            <v>썸으러팀</v>
          </cell>
          <cell r="O894">
            <v>43445</v>
          </cell>
          <cell r="R894">
            <v>46113</v>
          </cell>
          <cell r="S894">
            <v>46113</v>
          </cell>
          <cell r="T894">
            <v>46113</v>
          </cell>
          <cell r="U894" t="str">
            <v>N02709012</v>
          </cell>
          <cell r="V894" t="str">
            <v>철근공</v>
          </cell>
          <cell r="W894" t="str">
            <v>캄보디아</v>
          </cell>
        </row>
        <row r="895">
          <cell r="A895" t="str">
            <v>잔턴</v>
          </cell>
          <cell r="C895" t="str">
            <v>850714-5</v>
          </cell>
          <cell r="D895" t="str">
            <v>010-6669-9483</v>
          </cell>
          <cell r="E895">
            <v>192000</v>
          </cell>
          <cell r="F895" t="str">
            <v>남</v>
          </cell>
          <cell r="G895">
            <v>42</v>
          </cell>
          <cell r="H895" t="str">
            <v>외국인</v>
          </cell>
          <cell r="I895" t="str">
            <v>VEN CHANTHAN</v>
          </cell>
          <cell r="J895" t="str">
            <v>철근공</v>
          </cell>
          <cell r="K895" t="str">
            <v>썸으러팀</v>
          </cell>
          <cell r="L895" t="str">
            <v>398-910573-58607</v>
          </cell>
          <cell r="M895" t="str">
            <v>하나은행</v>
          </cell>
          <cell r="N895" t="str">
            <v>VEN CHANTHAN</v>
          </cell>
          <cell r="O895">
            <v>43643</v>
          </cell>
          <cell r="R895">
            <v>46113</v>
          </cell>
          <cell r="S895">
            <v>46113</v>
          </cell>
          <cell r="T895">
            <v>46113</v>
          </cell>
          <cell r="U895" t="str">
            <v>N1925058</v>
          </cell>
          <cell r="V895" t="str">
            <v>철근공</v>
          </cell>
          <cell r="W895" t="str">
            <v>캄보디아</v>
          </cell>
        </row>
        <row r="896">
          <cell r="A896" t="str">
            <v>텃소핀</v>
          </cell>
          <cell r="C896" t="str">
            <v>840101-5</v>
          </cell>
          <cell r="D896" t="str">
            <v>010-6800-4768</v>
          </cell>
          <cell r="E896">
            <v>192000</v>
          </cell>
          <cell r="F896" t="str">
            <v>남</v>
          </cell>
          <cell r="G896">
            <v>43</v>
          </cell>
          <cell r="H896" t="str">
            <v>외국인</v>
          </cell>
          <cell r="I896" t="str">
            <v>TOUCH SOPHIN</v>
          </cell>
          <cell r="J896" t="str">
            <v>철근공</v>
          </cell>
          <cell r="K896" t="str">
            <v>썸으러팀</v>
          </cell>
          <cell r="O896">
            <v>42736</v>
          </cell>
          <cell r="R896">
            <v>46113</v>
          </cell>
          <cell r="S896">
            <v>46113</v>
          </cell>
          <cell r="T896">
            <v>46113</v>
          </cell>
          <cell r="U896" t="str">
            <v>N1925069</v>
          </cell>
          <cell r="V896" t="str">
            <v>철근공</v>
          </cell>
          <cell r="W896" t="str">
            <v>캄보디아</v>
          </cell>
        </row>
        <row r="897">
          <cell r="A897" t="str">
            <v>핀타눈</v>
          </cell>
          <cell r="C897" t="str">
            <v>940303-5</v>
          </cell>
          <cell r="D897" t="str">
            <v>010-9586-6223</v>
          </cell>
          <cell r="E897">
            <v>192000</v>
          </cell>
          <cell r="F897" t="str">
            <v>남</v>
          </cell>
          <cell r="G897">
            <v>33</v>
          </cell>
          <cell r="H897" t="str">
            <v>외국인</v>
          </cell>
          <cell r="I897" t="str">
            <v>PHIN THANUN</v>
          </cell>
          <cell r="J897" t="str">
            <v>철근공</v>
          </cell>
          <cell r="K897" t="str">
            <v>썸으러팀</v>
          </cell>
          <cell r="L897" t="str">
            <v>620-254692-249</v>
          </cell>
          <cell r="M897" t="str">
            <v>하나은행</v>
          </cell>
          <cell r="N897" t="str">
            <v>PHIN THANUN</v>
          </cell>
          <cell r="O897">
            <v>44236</v>
          </cell>
          <cell r="R897">
            <v>46113</v>
          </cell>
          <cell r="S897">
            <v>46113</v>
          </cell>
          <cell r="T897">
            <v>46113</v>
          </cell>
          <cell r="U897" t="str">
            <v>N1930115</v>
          </cell>
          <cell r="V897" t="str">
            <v>철근공</v>
          </cell>
          <cell r="W897" t="str">
            <v>캄보디아</v>
          </cell>
        </row>
        <row r="898">
          <cell r="A898" t="str">
            <v>눈넹</v>
          </cell>
          <cell r="C898" t="str">
            <v>840510-5</v>
          </cell>
          <cell r="D898" t="str">
            <v>010-9786-0168</v>
          </cell>
          <cell r="E898">
            <v>192000</v>
          </cell>
          <cell r="F898" t="str">
            <v>남</v>
          </cell>
          <cell r="G898">
            <v>43</v>
          </cell>
          <cell r="H898" t="str">
            <v>외국인</v>
          </cell>
          <cell r="I898" t="str">
            <v>NORN NENG</v>
          </cell>
          <cell r="J898" t="str">
            <v>철근공</v>
          </cell>
          <cell r="K898" t="str">
            <v>썸으러팀</v>
          </cell>
          <cell r="O898">
            <v>41710</v>
          </cell>
          <cell r="R898">
            <v>46114</v>
          </cell>
          <cell r="S898">
            <v>46114</v>
          </cell>
          <cell r="T898">
            <v>46114</v>
          </cell>
          <cell r="U898" t="str">
            <v>NO1992620</v>
          </cell>
          <cell r="V898" t="str">
            <v>철근공</v>
          </cell>
          <cell r="W898" t="str">
            <v>캄보디아</v>
          </cell>
        </row>
        <row r="899">
          <cell r="A899" t="str">
            <v>털린</v>
          </cell>
          <cell r="C899" t="str">
            <v>851012-5</v>
          </cell>
          <cell r="D899" t="str">
            <v>010-7401-9295</v>
          </cell>
          <cell r="E899">
            <v>192000</v>
          </cell>
          <cell r="F899" t="str">
            <v>남</v>
          </cell>
          <cell r="G899">
            <v>42</v>
          </cell>
          <cell r="H899" t="str">
            <v>외국인</v>
          </cell>
          <cell r="I899" t="str">
            <v>CHHAM PHOLIN</v>
          </cell>
          <cell r="J899" t="str">
            <v>철근공</v>
          </cell>
          <cell r="K899" t="str">
            <v>썸으러팀</v>
          </cell>
          <cell r="O899">
            <v>44122</v>
          </cell>
          <cell r="R899">
            <v>46114</v>
          </cell>
          <cell r="S899">
            <v>46114</v>
          </cell>
          <cell r="T899">
            <v>46114</v>
          </cell>
          <cell r="U899" t="str">
            <v>N02716658</v>
          </cell>
          <cell r="V899" t="str">
            <v>철근공</v>
          </cell>
          <cell r="W899" t="str">
            <v>캄보디아</v>
          </cell>
        </row>
        <row r="900">
          <cell r="A900" t="str">
            <v>이리시</v>
          </cell>
          <cell r="C900" t="str">
            <v>770203-5</v>
          </cell>
          <cell r="D900" t="str">
            <v>010-2203-4168</v>
          </cell>
          <cell r="E900">
            <v>192000</v>
          </cell>
          <cell r="F900" t="str">
            <v>남</v>
          </cell>
          <cell r="G900">
            <v>50</v>
          </cell>
          <cell r="H900" t="str">
            <v>외국인</v>
          </cell>
          <cell r="I900" t="str">
            <v>SENG KEARY</v>
          </cell>
          <cell r="J900" t="str">
            <v>철근공</v>
          </cell>
          <cell r="K900" t="str">
            <v>썸으러팀</v>
          </cell>
          <cell r="O900">
            <v>43421</v>
          </cell>
          <cell r="R900">
            <v>46114</v>
          </cell>
          <cell r="S900">
            <v>46114</v>
          </cell>
          <cell r="T900">
            <v>46114</v>
          </cell>
          <cell r="U900" t="str">
            <v>N1928121</v>
          </cell>
          <cell r="V900" t="str">
            <v>철근공</v>
          </cell>
          <cell r="W900" t="str">
            <v>캄보디아</v>
          </cell>
        </row>
        <row r="901">
          <cell r="A901" t="str">
            <v>니피에라</v>
          </cell>
          <cell r="B901" t="str">
            <v>강원도 원주시</v>
          </cell>
          <cell r="C901" t="str">
            <v>900209-5</v>
          </cell>
          <cell r="D901" t="str">
            <v>010-6888-3067</v>
          </cell>
          <cell r="E901">
            <v>192000</v>
          </cell>
          <cell r="F901" t="str">
            <v>남</v>
          </cell>
          <cell r="G901">
            <v>37</v>
          </cell>
          <cell r="H901" t="str">
            <v>외국인</v>
          </cell>
          <cell r="I901" t="str">
            <v>NY PHEARA</v>
          </cell>
          <cell r="J901" t="str">
            <v>철근공</v>
          </cell>
          <cell r="K901" t="str">
            <v>썸으러팀</v>
          </cell>
          <cell r="L901" t="str">
            <v>401-890612-98807</v>
          </cell>
          <cell r="M901" t="str">
            <v>하나은행</v>
          </cell>
          <cell r="N901" t="str">
            <v>NY PHEARA</v>
          </cell>
          <cell r="O901">
            <v>42620</v>
          </cell>
          <cell r="R901">
            <v>46119</v>
          </cell>
          <cell r="S901">
            <v>46119</v>
          </cell>
          <cell r="T901">
            <v>46119</v>
          </cell>
          <cell r="U901" t="str">
            <v>N02720791</v>
          </cell>
          <cell r="V901" t="str">
            <v>철근공</v>
          </cell>
          <cell r="W901" t="str">
            <v>캄보디아</v>
          </cell>
        </row>
        <row r="902">
          <cell r="A902" t="str">
            <v>셈섬보</v>
          </cell>
          <cell r="B902" t="str">
            <v>강원도 원주시</v>
          </cell>
          <cell r="C902" t="str">
            <v>940409-5</v>
          </cell>
          <cell r="D902" t="str">
            <v>010-4436-0989</v>
          </cell>
          <cell r="E902">
            <v>192000</v>
          </cell>
          <cell r="F902" t="str">
            <v>남</v>
          </cell>
          <cell r="G902">
            <v>33</v>
          </cell>
          <cell r="H902" t="str">
            <v>외국인</v>
          </cell>
          <cell r="I902" t="str">
            <v>SEM SAMBO</v>
          </cell>
          <cell r="J902" t="str">
            <v>철근공</v>
          </cell>
          <cell r="K902" t="str">
            <v>썸으러팀</v>
          </cell>
          <cell r="L902" t="str">
            <v>401-910290-15107</v>
          </cell>
          <cell r="M902" t="str">
            <v>하나은행</v>
          </cell>
          <cell r="N902" t="str">
            <v>SEM SAMBO</v>
          </cell>
          <cell r="O902">
            <v>43377</v>
          </cell>
          <cell r="R902">
            <v>46119</v>
          </cell>
          <cell r="S902">
            <v>46119</v>
          </cell>
          <cell r="T902">
            <v>46119</v>
          </cell>
          <cell r="U902" t="str">
            <v>N00250425</v>
          </cell>
          <cell r="V902" t="str">
            <v>철근공</v>
          </cell>
          <cell r="W902" t="str">
            <v>캄보디아</v>
          </cell>
        </row>
        <row r="903">
          <cell r="A903" t="str">
            <v>속소완</v>
          </cell>
          <cell r="B903" t="str">
            <v>파주시 교하동 385-2</v>
          </cell>
          <cell r="C903" t="str">
            <v>911119-5</v>
          </cell>
          <cell r="D903" t="str">
            <v>010-2797-9199</v>
          </cell>
          <cell r="E903">
            <v>192000</v>
          </cell>
          <cell r="F903" t="str">
            <v>남</v>
          </cell>
          <cell r="G903">
            <v>36</v>
          </cell>
          <cell r="H903" t="str">
            <v>외국인</v>
          </cell>
          <cell r="I903" t="str">
            <v>SOK SOVAN</v>
          </cell>
          <cell r="J903" t="str">
            <v>철근공</v>
          </cell>
          <cell r="K903" t="str">
            <v>썸으러팀</v>
          </cell>
          <cell r="L903" t="str">
            <v>183-910296-28907</v>
          </cell>
          <cell r="M903" t="str">
            <v>하나은행</v>
          </cell>
          <cell r="N903" t="str">
            <v>SOK SOVAN</v>
          </cell>
          <cell r="O903">
            <v>43715</v>
          </cell>
          <cell r="R903">
            <v>46119</v>
          </cell>
          <cell r="S903">
            <v>46119</v>
          </cell>
          <cell r="T903">
            <v>46119</v>
          </cell>
          <cell r="U903" t="str">
            <v>N1932380</v>
          </cell>
          <cell r="V903" t="str">
            <v>철근공</v>
          </cell>
          <cell r="W903" t="str">
            <v>캄보디아</v>
          </cell>
        </row>
        <row r="904">
          <cell r="A904" t="str">
            <v>학새</v>
          </cell>
          <cell r="B904" t="str">
            <v>강원도 원주시</v>
          </cell>
          <cell r="C904" t="str">
            <v>940707-5</v>
          </cell>
          <cell r="D904" t="str">
            <v>010-4401-3422</v>
          </cell>
          <cell r="E904">
            <v>192000</v>
          </cell>
          <cell r="F904" t="str">
            <v>남</v>
          </cell>
          <cell r="G904">
            <v>33</v>
          </cell>
          <cell r="H904" t="str">
            <v>외국인</v>
          </cell>
          <cell r="I904" t="str">
            <v>VATH SER</v>
          </cell>
          <cell r="J904" t="str">
            <v>철근공</v>
          </cell>
          <cell r="K904" t="str">
            <v>썸으러팀</v>
          </cell>
          <cell r="O904">
            <v>43245</v>
          </cell>
          <cell r="R904">
            <v>46119</v>
          </cell>
          <cell r="S904">
            <v>46119</v>
          </cell>
          <cell r="T904">
            <v>46119</v>
          </cell>
          <cell r="U904" t="str">
            <v>N00566884</v>
          </cell>
          <cell r="V904" t="str">
            <v>철근공</v>
          </cell>
          <cell r="W904" t="str">
            <v>캄보디아</v>
          </cell>
        </row>
        <row r="905">
          <cell r="A905" t="str">
            <v>소패락</v>
          </cell>
          <cell r="B905" t="str">
            <v>강원도 원주시</v>
          </cell>
          <cell r="C905" t="str">
            <v>941209-5</v>
          </cell>
          <cell r="D905" t="str">
            <v>010-7562-0169</v>
          </cell>
          <cell r="E905">
            <v>192000</v>
          </cell>
          <cell r="F905" t="str">
            <v>남</v>
          </cell>
          <cell r="G905">
            <v>33</v>
          </cell>
          <cell r="H905" t="str">
            <v>외국인</v>
          </cell>
          <cell r="I905" t="str">
            <v>YAN SOPHEARAK</v>
          </cell>
          <cell r="J905" t="str">
            <v>철근공</v>
          </cell>
          <cell r="K905" t="str">
            <v>썸으러팀</v>
          </cell>
          <cell r="L905" t="str">
            <v>398-910700-83507</v>
          </cell>
          <cell r="M905" t="str">
            <v>하나은행</v>
          </cell>
          <cell r="N905" t="str">
            <v>YAN SOPHEARAK</v>
          </cell>
          <cell r="O905">
            <v>43906</v>
          </cell>
          <cell r="R905">
            <v>46119</v>
          </cell>
          <cell r="S905">
            <v>46119</v>
          </cell>
          <cell r="U905" t="str">
            <v>N01759326</v>
          </cell>
          <cell r="V905" t="str">
            <v>철근공</v>
          </cell>
          <cell r="W905" t="str">
            <v>캄보디아</v>
          </cell>
        </row>
        <row r="906">
          <cell r="A906" t="str">
            <v>다렛</v>
          </cell>
          <cell r="B906" t="str">
            <v>강원도 원주시</v>
          </cell>
          <cell r="C906" t="str">
            <v>931106-5</v>
          </cell>
          <cell r="D906" t="str">
            <v>010-5619-4356</v>
          </cell>
          <cell r="E906">
            <v>192000</v>
          </cell>
          <cell r="F906" t="str">
            <v>남</v>
          </cell>
          <cell r="G906">
            <v>34</v>
          </cell>
          <cell r="H906" t="str">
            <v>외국인</v>
          </cell>
          <cell r="I906" t="str">
            <v>ROU THARETH</v>
          </cell>
          <cell r="J906" t="str">
            <v>철근공</v>
          </cell>
          <cell r="K906" t="str">
            <v>썸으러팀</v>
          </cell>
          <cell r="L906" t="str">
            <v>620-237352-143</v>
          </cell>
          <cell r="M906" t="str">
            <v>하나은행</v>
          </cell>
          <cell r="N906" t="str">
            <v>ROU THARETH</v>
          </cell>
          <cell r="O906">
            <v>42726</v>
          </cell>
          <cell r="R906">
            <v>46122</v>
          </cell>
          <cell r="S906">
            <v>46122</v>
          </cell>
          <cell r="T906">
            <v>46122</v>
          </cell>
          <cell r="U906" t="str">
            <v>N1321159</v>
          </cell>
          <cell r="V906" t="str">
            <v>철근공</v>
          </cell>
          <cell r="W906" t="str">
            <v>캄보디아</v>
          </cell>
        </row>
        <row r="907">
          <cell r="A907" t="str">
            <v>석후</v>
          </cell>
          <cell r="B907" t="str">
            <v>강원도 원주시</v>
          </cell>
          <cell r="C907" t="str">
            <v>930706-5</v>
          </cell>
          <cell r="D907" t="str">
            <v>010-6449-5963</v>
          </cell>
          <cell r="E907">
            <v>192000</v>
          </cell>
          <cell r="F907" t="str">
            <v>남</v>
          </cell>
          <cell r="G907">
            <v>34</v>
          </cell>
          <cell r="H907" t="str">
            <v>외국인</v>
          </cell>
          <cell r="I907" t="str">
            <v>HUN SOK HUO</v>
          </cell>
          <cell r="J907" t="str">
            <v>철근공</v>
          </cell>
          <cell r="K907" t="str">
            <v>썸으러팀</v>
          </cell>
          <cell r="L907" t="str">
            <v>523-910495-22807</v>
          </cell>
          <cell r="M907" t="str">
            <v>하나은행</v>
          </cell>
          <cell r="N907" t="str">
            <v>HUN SOK HUO</v>
          </cell>
          <cell r="O907">
            <v>43852</v>
          </cell>
          <cell r="R907">
            <v>46123</v>
          </cell>
          <cell r="S907">
            <v>46123</v>
          </cell>
          <cell r="T907">
            <v>46123</v>
          </cell>
          <cell r="U907" t="str">
            <v>N1927812</v>
          </cell>
          <cell r="V907" t="str">
            <v>철근공</v>
          </cell>
          <cell r="W907" t="str">
            <v>캄보디아</v>
          </cell>
        </row>
        <row r="908">
          <cell r="A908" t="str">
            <v>로다나</v>
          </cell>
          <cell r="B908" t="str">
            <v>강원도 원주시</v>
          </cell>
          <cell r="C908" t="str">
            <v>900505-5</v>
          </cell>
          <cell r="D908" t="str">
            <v>010-2201-4300</v>
          </cell>
          <cell r="E908">
            <v>192000</v>
          </cell>
          <cell r="F908" t="str">
            <v>남</v>
          </cell>
          <cell r="G908">
            <v>37</v>
          </cell>
          <cell r="H908" t="str">
            <v>외국인</v>
          </cell>
          <cell r="I908" t="str">
            <v>CHHEANG ROTANA</v>
          </cell>
          <cell r="J908" t="str">
            <v>철근공</v>
          </cell>
          <cell r="K908" t="str">
            <v>썸으러팀</v>
          </cell>
          <cell r="L908" t="str">
            <v>784501-00-553212</v>
          </cell>
          <cell r="M908" t="str">
            <v>국민은행</v>
          </cell>
          <cell r="N908" t="str">
            <v>CHHEANG ROTANA</v>
          </cell>
          <cell r="O908">
            <v>45320</v>
          </cell>
          <cell r="R908">
            <v>46123</v>
          </cell>
          <cell r="S908">
            <v>46123</v>
          </cell>
          <cell r="T908">
            <v>46123</v>
          </cell>
          <cell r="U908" t="str">
            <v>N00565605</v>
          </cell>
          <cell r="V908" t="str">
            <v>철근공</v>
          </cell>
          <cell r="W908" t="str">
            <v>캄보디아</v>
          </cell>
        </row>
        <row r="909">
          <cell r="A909" t="str">
            <v>위불</v>
          </cell>
          <cell r="B909" t="str">
            <v>강원도 원주시</v>
          </cell>
          <cell r="C909" t="str">
            <v>960501-5</v>
          </cell>
          <cell r="D909" t="str">
            <v>010-7635-6673</v>
          </cell>
          <cell r="E909">
            <v>192000</v>
          </cell>
          <cell r="F909" t="str">
            <v>남</v>
          </cell>
          <cell r="G909">
            <v>31</v>
          </cell>
          <cell r="H909" t="str">
            <v>외국인</v>
          </cell>
          <cell r="I909" t="str">
            <v>MEAS VIBOL</v>
          </cell>
          <cell r="J909" t="str">
            <v>철근공</v>
          </cell>
          <cell r="K909" t="str">
            <v>썸으러팀</v>
          </cell>
          <cell r="L909" t="str">
            <v>401-910023-39205</v>
          </cell>
          <cell r="M909" t="str">
            <v>하나은행</v>
          </cell>
          <cell r="N909" t="str">
            <v>MEAS VIBOL</v>
          </cell>
          <cell r="O909">
            <v>44116</v>
          </cell>
          <cell r="R909">
            <v>46123</v>
          </cell>
          <cell r="S909">
            <v>46123</v>
          </cell>
          <cell r="T909">
            <v>46123</v>
          </cell>
          <cell r="U909" t="str">
            <v>N1938381</v>
          </cell>
          <cell r="V909" t="str">
            <v>철근공</v>
          </cell>
          <cell r="W909" t="str">
            <v>캄보디아</v>
          </cell>
        </row>
        <row r="910">
          <cell r="A910" t="str">
            <v>쌈낭</v>
          </cell>
          <cell r="B910" t="str">
            <v>강원도 원주시 단구동 1536-2</v>
          </cell>
          <cell r="C910" t="str">
            <v>900606-5</v>
          </cell>
          <cell r="D910" t="str">
            <v>010-5121-2228</v>
          </cell>
          <cell r="E910">
            <v>192000</v>
          </cell>
          <cell r="F910" t="str">
            <v>남</v>
          </cell>
          <cell r="G910">
            <v>37</v>
          </cell>
          <cell r="H910" t="str">
            <v>외국인</v>
          </cell>
          <cell r="I910" t="str">
            <v>PHOEURN SAMNANG</v>
          </cell>
          <cell r="J910" t="str">
            <v>철근공</v>
          </cell>
          <cell r="K910" t="str">
            <v>썸으러팀</v>
          </cell>
          <cell r="L910" t="str">
            <v>259-910172-97107</v>
          </cell>
          <cell r="M910" t="str">
            <v>하나은행</v>
          </cell>
          <cell r="N910" t="str">
            <v>PHOEURNSAMNANG</v>
          </cell>
          <cell r="O910">
            <v>42769</v>
          </cell>
          <cell r="R910">
            <v>46125</v>
          </cell>
          <cell r="S910">
            <v>46125</v>
          </cell>
          <cell r="T910">
            <v>46125</v>
          </cell>
          <cell r="U910" t="str">
            <v>N02596177</v>
          </cell>
          <cell r="V910" t="str">
            <v>철근공</v>
          </cell>
          <cell r="W910" t="str">
            <v>캄보디아</v>
          </cell>
        </row>
        <row r="911">
          <cell r="A911" t="str">
            <v>윤찬롱</v>
          </cell>
          <cell r="B911" t="str">
            <v>강원도 원주시 단구동 1536-2</v>
          </cell>
          <cell r="C911" t="str">
            <v>930130-5</v>
          </cell>
          <cell r="D911" t="str">
            <v>010-4671-2041</v>
          </cell>
          <cell r="E911">
            <v>192000</v>
          </cell>
          <cell r="F911" t="str">
            <v>남</v>
          </cell>
          <cell r="G911">
            <v>34</v>
          </cell>
          <cell r="H911" t="str">
            <v>외국인</v>
          </cell>
          <cell r="I911" t="str">
            <v>YUN CHANRONG</v>
          </cell>
          <cell r="J911" t="str">
            <v>철근공</v>
          </cell>
          <cell r="K911" t="str">
            <v>썸으러팀</v>
          </cell>
          <cell r="L911" t="str">
            <v>221-444648-02-011</v>
          </cell>
          <cell r="M911" t="str">
            <v>기업은행</v>
          </cell>
          <cell r="N911" t="str">
            <v>YUN CHANRONG</v>
          </cell>
          <cell r="O911">
            <v>44160</v>
          </cell>
          <cell r="R911">
            <v>46125</v>
          </cell>
          <cell r="S911">
            <v>46125</v>
          </cell>
          <cell r="T911">
            <v>46125</v>
          </cell>
          <cell r="U911" t="str">
            <v>N01410620</v>
          </cell>
          <cell r="V911" t="str">
            <v>철근공</v>
          </cell>
          <cell r="W911" t="str">
            <v>캄보디아</v>
          </cell>
        </row>
        <row r="912">
          <cell r="F912" t="str">
            <v/>
          </cell>
          <cell r="G912" t="str">
            <v/>
          </cell>
          <cell r="H912" t="str">
            <v/>
          </cell>
          <cell r="Q912" t="str">
            <v/>
          </cell>
        </row>
        <row r="913">
          <cell r="F913" t="str">
            <v/>
          </cell>
          <cell r="G913" t="str">
            <v/>
          </cell>
          <cell r="H913" t="str">
            <v/>
          </cell>
          <cell r="Q913" t="str">
            <v/>
          </cell>
        </row>
        <row r="914">
          <cell r="F914" t="str">
            <v/>
          </cell>
          <cell r="G914" t="str">
            <v/>
          </cell>
          <cell r="H914" t="str">
            <v/>
          </cell>
          <cell r="Q914" t="str">
            <v/>
          </cell>
        </row>
        <row r="915">
          <cell r="F915" t="str">
            <v/>
          </cell>
          <cell r="G915" t="str">
            <v/>
          </cell>
          <cell r="H915" t="str">
            <v/>
          </cell>
          <cell r="Q915" t="str">
            <v/>
          </cell>
        </row>
        <row r="916">
          <cell r="A916" t="str">
            <v>누엔반빈</v>
          </cell>
          <cell r="B916" t="str">
            <v>대전 서구 대동 12-8</v>
          </cell>
          <cell r="C916" t="str">
            <v>950709-5</v>
          </cell>
          <cell r="D916" t="str">
            <v>010-7248-8336</v>
          </cell>
          <cell r="E916">
            <v>192000</v>
          </cell>
          <cell r="F916" t="str">
            <v>남</v>
          </cell>
          <cell r="G916">
            <v>32</v>
          </cell>
          <cell r="H916" t="str">
            <v>외국인</v>
          </cell>
          <cell r="I916" t="str">
            <v>NGUYEN VAN VINH</v>
          </cell>
          <cell r="J916" t="str">
            <v>철근공</v>
          </cell>
          <cell r="K916" t="str">
            <v>석방팀</v>
          </cell>
          <cell r="L916" t="str">
            <v>524-910380-25607</v>
          </cell>
          <cell r="M916" t="str">
            <v>하나은행</v>
          </cell>
          <cell r="N916" t="str">
            <v>NGUYEN VAN VINH</v>
          </cell>
          <cell r="O916">
            <v>42625</v>
          </cell>
          <cell r="R916">
            <v>46057</v>
          </cell>
          <cell r="S916">
            <v>46057</v>
          </cell>
          <cell r="T916">
            <v>46057</v>
          </cell>
          <cell r="U916" t="str">
            <v>Q00710128</v>
          </cell>
          <cell r="V916" t="str">
            <v>철근공</v>
          </cell>
          <cell r="W916" t="str">
            <v>베트남</v>
          </cell>
        </row>
        <row r="917">
          <cell r="A917" t="str">
            <v>누엔반틴</v>
          </cell>
          <cell r="B917" t="str">
            <v>대전 서구 대동 12-8</v>
          </cell>
          <cell r="C917" t="str">
            <v>990218-5</v>
          </cell>
          <cell r="D917" t="str">
            <v>010-7548-9666</v>
          </cell>
          <cell r="E917">
            <v>192000</v>
          </cell>
          <cell r="F917" t="str">
            <v>남</v>
          </cell>
          <cell r="G917">
            <v>28</v>
          </cell>
          <cell r="H917" t="str">
            <v>외국인</v>
          </cell>
          <cell r="I917" t="str">
            <v>NGUYEN VAN TINH</v>
          </cell>
          <cell r="J917" t="str">
            <v>철근공</v>
          </cell>
          <cell r="K917" t="str">
            <v>석방팀</v>
          </cell>
          <cell r="L917" t="str">
            <v xml:space="preserve"> 339-910396-51107</v>
          </cell>
          <cell r="M917" t="str">
            <v>하나은행</v>
          </cell>
          <cell r="N917" t="str">
            <v>NGUYEN VAN TINH</v>
          </cell>
          <cell r="O917">
            <v>43800</v>
          </cell>
          <cell r="R917">
            <v>46057</v>
          </cell>
          <cell r="S917">
            <v>46057</v>
          </cell>
          <cell r="T917">
            <v>46057</v>
          </cell>
          <cell r="U917" t="str">
            <v>N2215944</v>
          </cell>
          <cell r="V917" t="str">
            <v>철근공</v>
          </cell>
          <cell r="W917" t="str">
            <v>베트남</v>
          </cell>
        </row>
        <row r="918">
          <cell r="A918" t="str">
            <v>호반단</v>
          </cell>
          <cell r="B918" t="str">
            <v>대전 서구 대동 12-8</v>
          </cell>
          <cell r="C918" t="str">
            <v>970320-5</v>
          </cell>
          <cell r="D918" t="str">
            <v>010-7645-6371</v>
          </cell>
          <cell r="E918">
            <v>192000</v>
          </cell>
          <cell r="F918" t="str">
            <v>남</v>
          </cell>
          <cell r="G918">
            <v>30</v>
          </cell>
          <cell r="H918" t="str">
            <v>외국인</v>
          </cell>
          <cell r="I918" t="str">
            <v>HO VAN TAN</v>
          </cell>
          <cell r="J918" t="str">
            <v>철근공</v>
          </cell>
          <cell r="K918" t="str">
            <v>석방팀</v>
          </cell>
          <cell r="L918" t="str">
            <v>524-910380-26207</v>
          </cell>
          <cell r="M918" t="str">
            <v>하나은행</v>
          </cell>
          <cell r="N918" t="str">
            <v>HO VAN TAN</v>
          </cell>
          <cell r="O918">
            <v>43800</v>
          </cell>
          <cell r="R918">
            <v>46057</v>
          </cell>
          <cell r="S918">
            <v>46057</v>
          </cell>
          <cell r="T918">
            <v>46057</v>
          </cell>
          <cell r="U918" t="str">
            <v>C2668192</v>
          </cell>
          <cell r="V918" t="str">
            <v>철근공</v>
          </cell>
          <cell r="W918" t="str">
            <v>베트남</v>
          </cell>
        </row>
        <row r="919">
          <cell r="A919" t="str">
            <v>전반탄</v>
          </cell>
          <cell r="B919" t="str">
            <v>대전 서구 대동 12-8</v>
          </cell>
          <cell r="C919" t="str">
            <v>880308-5</v>
          </cell>
          <cell r="D919" t="str">
            <v>010-9756-6088</v>
          </cell>
          <cell r="E919">
            <v>192000</v>
          </cell>
          <cell r="F919" t="str">
            <v>남</v>
          </cell>
          <cell r="G919">
            <v>39</v>
          </cell>
          <cell r="H919" t="str">
            <v>외국인</v>
          </cell>
          <cell r="I919" t="str">
            <v>TRAN VAN THANH</v>
          </cell>
          <cell r="J919" t="str">
            <v>철근공</v>
          </cell>
          <cell r="K919" t="str">
            <v>석방팀</v>
          </cell>
          <cell r="L919" t="str">
            <v>508-12-113077-4</v>
          </cell>
          <cell r="M919" t="str">
            <v>IM(대구)</v>
          </cell>
          <cell r="N919" t="str">
            <v>TRAN VAN THANH</v>
          </cell>
          <cell r="O919">
            <v>44231</v>
          </cell>
          <cell r="R919">
            <v>46057</v>
          </cell>
          <cell r="S919">
            <v>46057</v>
          </cell>
          <cell r="T919">
            <v>46057</v>
          </cell>
          <cell r="U919" t="str">
            <v>Q00292996</v>
          </cell>
          <cell r="V919" t="str">
            <v>철근공</v>
          </cell>
          <cell r="W919" t="str">
            <v>베트남</v>
          </cell>
        </row>
        <row r="920">
          <cell r="A920" t="str">
            <v>원칸단</v>
          </cell>
          <cell r="B920" t="str">
            <v>대전 서구 대동 12-8</v>
          </cell>
          <cell r="C920" t="str">
            <v>900520-5</v>
          </cell>
          <cell r="D920" t="str">
            <v>010-8089-8668</v>
          </cell>
          <cell r="E920">
            <v>192000</v>
          </cell>
          <cell r="F920" t="str">
            <v>남</v>
          </cell>
          <cell r="G920">
            <v>37</v>
          </cell>
          <cell r="H920" t="str">
            <v>외국인</v>
          </cell>
          <cell r="I920" t="str">
            <v>NGUYEN KHANH TAN</v>
          </cell>
          <cell r="J920" t="str">
            <v>철근공</v>
          </cell>
          <cell r="K920" t="str">
            <v>석방팀</v>
          </cell>
          <cell r="L920" t="str">
            <v>524-910382-03507</v>
          </cell>
          <cell r="M920" t="str">
            <v>하나은행</v>
          </cell>
          <cell r="N920" t="str">
            <v>NGUYEN KHANH TAN</v>
          </cell>
          <cell r="O920">
            <v>43800</v>
          </cell>
          <cell r="R920">
            <v>46057</v>
          </cell>
          <cell r="S920">
            <v>46057</v>
          </cell>
          <cell r="T920">
            <v>46057</v>
          </cell>
          <cell r="U920" t="str">
            <v>N2214259</v>
          </cell>
          <cell r="V920" t="str">
            <v>철근공</v>
          </cell>
          <cell r="W920" t="str">
            <v>베트남</v>
          </cell>
        </row>
        <row r="921">
          <cell r="A921" t="str">
            <v>반하이</v>
          </cell>
          <cell r="B921" t="str">
            <v>대전 서구 대동 12-8</v>
          </cell>
          <cell r="C921" t="str">
            <v>021115-5</v>
          </cell>
          <cell r="E921">
            <v>192000</v>
          </cell>
          <cell r="F921" t="str">
            <v>남</v>
          </cell>
          <cell r="G921">
            <v>25</v>
          </cell>
          <cell r="H921" t="str">
            <v>외국인</v>
          </cell>
          <cell r="I921" t="str">
            <v>NGUYEN VAN HAI</v>
          </cell>
          <cell r="J921" t="str">
            <v>철근공</v>
          </cell>
          <cell r="K921" t="str">
            <v>석방팀</v>
          </cell>
          <cell r="L921" t="str">
            <v>394-910557-34907</v>
          </cell>
          <cell r="M921" t="str">
            <v>하나은행</v>
          </cell>
          <cell r="N921" t="str">
            <v>NGUYEN VAN HAI</v>
          </cell>
          <cell r="O921">
            <v>44339</v>
          </cell>
          <cell r="R921">
            <v>45707</v>
          </cell>
          <cell r="S921">
            <v>45707</v>
          </cell>
          <cell r="T921">
            <v>45707</v>
          </cell>
          <cell r="U921" t="str">
            <v>C9651212</v>
          </cell>
          <cell r="V921" t="str">
            <v>철근공</v>
          </cell>
          <cell r="W921" t="str">
            <v>베트남</v>
          </cell>
        </row>
        <row r="922">
          <cell r="A922" t="str">
            <v>레안두엔</v>
          </cell>
          <cell r="B922" t="str">
            <v>강원도 원주시</v>
          </cell>
          <cell r="C922" t="str">
            <v>930115-5</v>
          </cell>
          <cell r="D922" t="str">
            <v>010-8244-0597</v>
          </cell>
          <cell r="E922">
            <v>192000</v>
          </cell>
          <cell r="F922" t="str">
            <v>남</v>
          </cell>
          <cell r="G922">
            <v>34</v>
          </cell>
          <cell r="H922" t="str">
            <v>외국인</v>
          </cell>
          <cell r="I922" t="str">
            <v>LE ANH TUYEN</v>
          </cell>
          <cell r="J922" t="str">
            <v>철근공</v>
          </cell>
          <cell r="K922" t="str">
            <v>석방팀</v>
          </cell>
          <cell r="L922" t="str">
            <v>845-910111-58007</v>
          </cell>
          <cell r="M922" t="str">
            <v>하나은행</v>
          </cell>
          <cell r="N922" t="str">
            <v>LE ANH TUYEN</v>
          </cell>
          <cell r="O922">
            <v>44732</v>
          </cell>
          <cell r="R922">
            <v>46077</v>
          </cell>
          <cell r="S922">
            <v>46077</v>
          </cell>
          <cell r="T922">
            <v>46077</v>
          </cell>
          <cell r="U922" t="str">
            <v>C3586254</v>
          </cell>
          <cell r="V922" t="str">
            <v>철근공</v>
          </cell>
          <cell r="W922" t="str">
            <v>베트남</v>
          </cell>
        </row>
        <row r="923">
          <cell r="A923" t="str">
            <v>진반리엠</v>
          </cell>
          <cell r="B923" t="str">
            <v>대전 서구 대동 12-8</v>
          </cell>
          <cell r="C923" t="str">
            <v>870313-5</v>
          </cell>
          <cell r="D923" t="str">
            <v>010-5706-6889</v>
          </cell>
          <cell r="E923">
            <v>192000</v>
          </cell>
          <cell r="F923" t="str">
            <v>남</v>
          </cell>
          <cell r="G923">
            <v>40</v>
          </cell>
          <cell r="H923" t="str">
            <v>외국인</v>
          </cell>
          <cell r="I923" t="str">
            <v>TRAN VAN LIEM</v>
          </cell>
          <cell r="J923" t="str">
            <v>철근공</v>
          </cell>
          <cell r="K923" t="str">
            <v>석방팀</v>
          </cell>
          <cell r="L923" t="str">
            <v>524-910380-25607</v>
          </cell>
          <cell r="M923" t="str">
            <v>하나은행</v>
          </cell>
          <cell r="N923" t="str">
            <v>NGUYEN VAN VINH</v>
          </cell>
          <cell r="O923">
            <v>43800</v>
          </cell>
          <cell r="R923">
            <v>46057</v>
          </cell>
          <cell r="S923">
            <v>46057</v>
          </cell>
          <cell r="T923">
            <v>46057</v>
          </cell>
          <cell r="U923" t="str">
            <v>N2214258</v>
          </cell>
          <cell r="V923" t="str">
            <v>철근공</v>
          </cell>
          <cell r="W923" t="str">
            <v>베트남</v>
          </cell>
        </row>
        <row r="924">
          <cell r="A924" t="str">
            <v>호반하이</v>
          </cell>
          <cell r="B924" t="str">
            <v>대전 서구 대동 12-8</v>
          </cell>
          <cell r="C924" t="str">
            <v>030620-5</v>
          </cell>
          <cell r="D924" t="str">
            <v>010-5615-2113</v>
          </cell>
          <cell r="E924">
            <v>192000</v>
          </cell>
          <cell r="F924" t="str">
            <v>남</v>
          </cell>
          <cell r="G924">
            <v>24</v>
          </cell>
          <cell r="H924" t="str">
            <v>외국인</v>
          </cell>
          <cell r="I924" t="str">
            <v>HO VAN HAI</v>
          </cell>
          <cell r="J924" t="str">
            <v>철근공</v>
          </cell>
          <cell r="K924" t="str">
            <v>석방팀</v>
          </cell>
          <cell r="L924" t="str">
            <v>524-910380-25607</v>
          </cell>
          <cell r="M924" t="str">
            <v>하나은행</v>
          </cell>
          <cell r="N924" t="str">
            <v>NGUYEN VAN VINH</v>
          </cell>
          <cell r="O924">
            <v>44496</v>
          </cell>
          <cell r="R924">
            <v>46057</v>
          </cell>
          <cell r="S924">
            <v>46057</v>
          </cell>
          <cell r="T924">
            <v>46057</v>
          </cell>
          <cell r="U924" t="str">
            <v>C9530000</v>
          </cell>
          <cell r="V924" t="str">
            <v>철근공</v>
          </cell>
          <cell r="W924" t="str">
            <v>베트남</v>
          </cell>
        </row>
        <row r="925">
          <cell r="A925" t="str">
            <v>딘릭</v>
          </cell>
          <cell r="B925" t="str">
            <v>대전 서구 대동 12-8</v>
          </cell>
          <cell r="C925" t="str">
            <v>000410-5</v>
          </cell>
          <cell r="D925" t="str">
            <v>010-6739-9789</v>
          </cell>
          <cell r="E925">
            <v>192000</v>
          </cell>
          <cell r="F925" t="str">
            <v>남</v>
          </cell>
          <cell r="G925">
            <v>27</v>
          </cell>
          <cell r="H925" t="str">
            <v>외국인</v>
          </cell>
          <cell r="I925" t="str">
            <v>NGUYEN DINH LICH</v>
          </cell>
          <cell r="J925" t="str">
            <v>철근공</v>
          </cell>
          <cell r="K925" t="str">
            <v>석방팀</v>
          </cell>
          <cell r="L925" t="str">
            <v>524-910380-25607</v>
          </cell>
          <cell r="M925" t="str">
            <v>하나은행</v>
          </cell>
          <cell r="N925" t="str">
            <v>NGUYEN VAN VINH</v>
          </cell>
          <cell r="O925">
            <v>44119</v>
          </cell>
          <cell r="R925">
            <v>46057</v>
          </cell>
          <cell r="S925">
            <v>46057</v>
          </cell>
          <cell r="T925">
            <v>46057</v>
          </cell>
          <cell r="U925" t="str">
            <v>N2453428</v>
          </cell>
          <cell r="V925" t="str">
            <v>철근공</v>
          </cell>
          <cell r="W925" t="str">
            <v>베트남</v>
          </cell>
        </row>
        <row r="926">
          <cell r="F926" t="str">
            <v/>
          </cell>
          <cell r="G926" t="str">
            <v/>
          </cell>
          <cell r="H926" t="str">
            <v/>
          </cell>
          <cell r="Q926" t="str">
            <v/>
          </cell>
        </row>
        <row r="927">
          <cell r="F927" t="str">
            <v/>
          </cell>
          <cell r="G927" t="str">
            <v/>
          </cell>
          <cell r="H927" t="str">
            <v/>
          </cell>
          <cell r="Q927" t="str">
            <v/>
          </cell>
        </row>
        <row r="928">
          <cell r="F928" t="str">
            <v/>
          </cell>
          <cell r="G928" t="str">
            <v/>
          </cell>
          <cell r="H928" t="str">
            <v/>
          </cell>
          <cell r="Q928" t="str">
            <v/>
          </cell>
        </row>
        <row r="929">
          <cell r="F929" t="str">
            <v/>
          </cell>
          <cell r="G929" t="str">
            <v/>
          </cell>
          <cell r="H929" t="str">
            <v/>
          </cell>
          <cell r="Q929" t="str">
            <v/>
          </cell>
        </row>
        <row r="930">
          <cell r="A930" t="str">
            <v>정댕궁</v>
          </cell>
          <cell r="B930" t="str">
            <v>강원도 원주시</v>
          </cell>
          <cell r="D930" t="str">
            <v>010-6887-7379</v>
          </cell>
          <cell r="E930">
            <v>192000</v>
          </cell>
          <cell r="F930" t="str">
            <v/>
          </cell>
          <cell r="G930">
            <v>40</v>
          </cell>
          <cell r="H930" t="str">
            <v/>
          </cell>
          <cell r="I930" t="str">
            <v>TRAN TIEN CUNG</v>
          </cell>
          <cell r="J930" t="str">
            <v>철근공</v>
          </cell>
          <cell r="K930" t="str">
            <v>정댕궁</v>
          </cell>
          <cell r="L930" t="str">
            <v>589-910347-14807</v>
          </cell>
          <cell r="M930" t="str">
            <v>하나은행</v>
          </cell>
          <cell r="N930" t="str">
            <v>TRAN TIEN CUNG</v>
          </cell>
          <cell r="O930">
            <v>44055</v>
          </cell>
          <cell r="Q930" t="str">
            <v/>
          </cell>
          <cell r="S930">
            <v>45916</v>
          </cell>
          <cell r="T930">
            <v>45916</v>
          </cell>
          <cell r="U930" t="str">
            <v>N2306073</v>
          </cell>
          <cell r="V930" t="str">
            <v>철근공</v>
          </cell>
          <cell r="W930" t="str">
            <v>베트남</v>
          </cell>
        </row>
        <row r="931">
          <cell r="A931" t="str">
            <v>반츠</v>
          </cell>
          <cell r="B931" t="str">
            <v>강원도 원주시</v>
          </cell>
          <cell r="D931" t="str">
            <v>010-4310-3666</v>
          </cell>
          <cell r="E931">
            <v>192000</v>
          </cell>
          <cell r="F931" t="str">
            <v/>
          </cell>
          <cell r="G931">
            <v>57</v>
          </cell>
          <cell r="H931" t="str">
            <v/>
          </cell>
          <cell r="I931" t="str">
            <v>NGUYEN VAN CHU</v>
          </cell>
          <cell r="J931" t="str">
            <v>철근공</v>
          </cell>
          <cell r="K931" t="str">
            <v>정댕궁</v>
          </cell>
          <cell r="L931" t="str">
            <v>9100054813425</v>
          </cell>
          <cell r="M931" t="str">
            <v>전북</v>
          </cell>
          <cell r="N931" t="str">
            <v xml:space="preserve"> VAN CHU NGUYEN</v>
          </cell>
          <cell r="O931">
            <v>43641</v>
          </cell>
          <cell r="Q931" t="str">
            <v/>
          </cell>
          <cell r="S931">
            <v>45916</v>
          </cell>
          <cell r="T931">
            <v>45916</v>
          </cell>
          <cell r="U931" t="str">
            <v>C6676327</v>
          </cell>
          <cell r="V931" t="str">
            <v>철근공</v>
          </cell>
          <cell r="W931" t="str">
            <v>베트남</v>
          </cell>
        </row>
        <row r="932">
          <cell r="A932" t="str">
            <v>반터</v>
          </cell>
          <cell r="B932" t="str">
            <v>강원도 원주시</v>
          </cell>
          <cell r="D932" t="str">
            <v>010-5153-6368</v>
          </cell>
          <cell r="E932">
            <v>192000</v>
          </cell>
          <cell r="F932" t="str">
            <v/>
          </cell>
          <cell r="G932">
            <v>49</v>
          </cell>
          <cell r="H932" t="str">
            <v/>
          </cell>
          <cell r="I932" t="str">
            <v>NGUYEN VAN THO</v>
          </cell>
          <cell r="J932" t="str">
            <v>철근공</v>
          </cell>
          <cell r="K932" t="str">
            <v>정댕궁</v>
          </cell>
          <cell r="L932" t="str">
            <v>50902005989761</v>
          </cell>
          <cell r="M932" t="str">
            <v>제주</v>
          </cell>
          <cell r="N932" t="str">
            <v>NGUYEN VAN THO</v>
          </cell>
          <cell r="O932">
            <v>44949</v>
          </cell>
          <cell r="Q932" t="str">
            <v/>
          </cell>
          <cell r="S932">
            <v>45916</v>
          </cell>
          <cell r="T932">
            <v>45916</v>
          </cell>
          <cell r="U932" t="str">
            <v>C7685677</v>
          </cell>
          <cell r="V932" t="str">
            <v>철근공</v>
          </cell>
          <cell r="W932" t="str">
            <v>베트남</v>
          </cell>
        </row>
        <row r="933">
          <cell r="A933" t="str">
            <v>코이</v>
          </cell>
          <cell r="B933" t="str">
            <v>강원도 원주시</v>
          </cell>
          <cell r="D933" t="str">
            <v>010-5530-7739</v>
          </cell>
          <cell r="E933">
            <v>192000</v>
          </cell>
          <cell r="F933" t="str">
            <v/>
          </cell>
          <cell r="G933">
            <v>31</v>
          </cell>
          <cell r="H933" t="str">
            <v/>
          </cell>
          <cell r="I933" t="str">
            <v>LE HUY KHOI</v>
          </cell>
          <cell r="J933" t="str">
            <v>철근공</v>
          </cell>
          <cell r="K933" t="str">
            <v>정댕궁</v>
          </cell>
          <cell r="O933">
            <v>44545</v>
          </cell>
          <cell r="Q933" t="str">
            <v/>
          </cell>
          <cell r="S933">
            <v>45916</v>
          </cell>
          <cell r="T933">
            <v>45916</v>
          </cell>
          <cell r="U933" t="str">
            <v>P03287312</v>
          </cell>
          <cell r="V933" t="str">
            <v>철근공</v>
          </cell>
          <cell r="W933" t="str">
            <v>베트남</v>
          </cell>
        </row>
        <row r="934">
          <cell r="A934" t="str">
            <v>판담터</v>
          </cell>
          <cell r="B934" t="str">
            <v>강원도 원주시</v>
          </cell>
          <cell r="D934" t="str">
            <v>010-5752-2226</v>
          </cell>
          <cell r="E934">
            <v>192000</v>
          </cell>
          <cell r="F934" t="str">
            <v/>
          </cell>
          <cell r="G934">
            <v>39</v>
          </cell>
          <cell r="H934" t="str">
            <v/>
          </cell>
          <cell r="I934" t="str">
            <v>PHAM DINH THO</v>
          </cell>
          <cell r="J934" t="str">
            <v>철근공</v>
          </cell>
          <cell r="K934" t="str">
            <v>정댕궁</v>
          </cell>
          <cell r="L934" t="str">
            <v>628-910683-35907</v>
          </cell>
          <cell r="M934" t="str">
            <v>하나은행</v>
          </cell>
          <cell r="N934" t="str">
            <v xml:space="preserve">PHAM DINH THO </v>
          </cell>
          <cell r="O934">
            <v>43475</v>
          </cell>
          <cell r="Q934" t="str">
            <v/>
          </cell>
          <cell r="S934">
            <v>45916</v>
          </cell>
          <cell r="T934">
            <v>45916</v>
          </cell>
          <cell r="U934" t="str">
            <v>C3694239</v>
          </cell>
          <cell r="V934" t="str">
            <v>철근공</v>
          </cell>
          <cell r="W934" t="str">
            <v>베트남</v>
          </cell>
        </row>
        <row r="935">
          <cell r="A935" t="str">
            <v>팜단닷</v>
          </cell>
          <cell r="B935" t="str">
            <v>강원도 원주시</v>
          </cell>
          <cell r="D935" t="str">
            <v>010-7623-7776</v>
          </cell>
          <cell r="E935">
            <v>192000</v>
          </cell>
          <cell r="F935" t="str">
            <v/>
          </cell>
          <cell r="G935">
            <v>30</v>
          </cell>
          <cell r="H935" t="str">
            <v/>
          </cell>
          <cell r="I935" t="str">
            <v>PHAM TAN DAT</v>
          </cell>
          <cell r="J935" t="str">
            <v>철근공</v>
          </cell>
          <cell r="K935" t="str">
            <v>정댕궁</v>
          </cell>
          <cell r="L935" t="str">
            <v>50902006032810</v>
          </cell>
          <cell r="M935" t="str">
            <v>제주</v>
          </cell>
          <cell r="N935" t="str">
            <v>PHAM TAN DAT</v>
          </cell>
          <cell r="O935">
            <v>44574</v>
          </cell>
          <cell r="Q935" t="str">
            <v/>
          </cell>
          <cell r="S935">
            <v>45916</v>
          </cell>
          <cell r="T935">
            <v>45916</v>
          </cell>
          <cell r="U935" t="str">
            <v>E00050713</v>
          </cell>
          <cell r="V935" t="str">
            <v>철근공</v>
          </cell>
          <cell r="W935" t="str">
            <v>베트남</v>
          </cell>
        </row>
        <row r="936">
          <cell r="A936" t="str">
            <v>딘반언</v>
          </cell>
          <cell r="C936" t="str">
            <v>930527-5</v>
          </cell>
          <cell r="D936" t="str">
            <v>010-8059-0593</v>
          </cell>
          <cell r="E936">
            <v>192000</v>
          </cell>
          <cell r="F936" t="str">
            <v>남</v>
          </cell>
          <cell r="G936">
            <v>34</v>
          </cell>
          <cell r="H936" t="str">
            <v>외국인</v>
          </cell>
          <cell r="I936" t="str">
            <v>DINH VAN ON</v>
          </cell>
          <cell r="J936" t="str">
            <v>철근공</v>
          </cell>
          <cell r="K936" t="str">
            <v>정댕궁</v>
          </cell>
          <cell r="L936" t="str">
            <v>691-910449-89407</v>
          </cell>
          <cell r="M936" t="str">
            <v>하나은행</v>
          </cell>
          <cell r="N936" t="str">
            <v>DINH VAN ON</v>
          </cell>
          <cell r="Q936" t="str">
            <v/>
          </cell>
          <cell r="S936">
            <v>45923</v>
          </cell>
          <cell r="T936">
            <v>45923</v>
          </cell>
          <cell r="U936" t="str">
            <v>C3830553</v>
          </cell>
          <cell r="V936" t="str">
            <v>철근공</v>
          </cell>
          <cell r="W936" t="str">
            <v>베트남</v>
          </cell>
        </row>
        <row r="937">
          <cell r="A937" t="str">
            <v>호탱둥</v>
          </cell>
          <cell r="C937" t="str">
            <v>891203-5</v>
          </cell>
          <cell r="D937" t="str">
            <v>010-1925-9078</v>
          </cell>
          <cell r="E937">
            <v>192000</v>
          </cell>
          <cell r="F937" t="str">
            <v>남</v>
          </cell>
          <cell r="G937">
            <v>38</v>
          </cell>
          <cell r="H937" t="str">
            <v>외국인</v>
          </cell>
          <cell r="I937" t="str">
            <v>HO THANH TUNG</v>
          </cell>
          <cell r="J937" t="str">
            <v>철근공</v>
          </cell>
          <cell r="K937" t="str">
            <v>정댕궁</v>
          </cell>
          <cell r="L937" t="str">
            <v>600-910662-59107</v>
          </cell>
          <cell r="M937" t="str">
            <v>하나은행</v>
          </cell>
          <cell r="N937" t="str">
            <v>HO THANH TUNG</v>
          </cell>
          <cell r="Q937" t="str">
            <v/>
          </cell>
          <cell r="S937">
            <v>45923</v>
          </cell>
          <cell r="T937">
            <v>45923</v>
          </cell>
          <cell r="U937" t="str">
            <v>C7093796</v>
          </cell>
          <cell r="V937" t="str">
            <v>철근공</v>
          </cell>
          <cell r="W937" t="str">
            <v>베트남</v>
          </cell>
        </row>
        <row r="938">
          <cell r="A938" t="str">
            <v>팜탄</v>
          </cell>
          <cell r="C938" t="str">
            <v>960717-5</v>
          </cell>
          <cell r="D938" t="str">
            <v>010-8189-8952</v>
          </cell>
          <cell r="E938">
            <v>192000</v>
          </cell>
          <cell r="F938" t="str">
            <v>남</v>
          </cell>
          <cell r="G938">
            <v>31</v>
          </cell>
          <cell r="H938" t="str">
            <v>외국인</v>
          </cell>
          <cell r="I938" t="str">
            <v>PHAM THANH</v>
          </cell>
          <cell r="J938" t="str">
            <v>철근공</v>
          </cell>
          <cell r="K938" t="str">
            <v>정댕궁</v>
          </cell>
          <cell r="L938" t="str">
            <v>302-2002-8789-81</v>
          </cell>
          <cell r="M938" t="str">
            <v>농협은행</v>
          </cell>
          <cell r="N938" t="str">
            <v>PHAM THANH</v>
          </cell>
          <cell r="Q938" t="str">
            <v/>
          </cell>
          <cell r="S938">
            <v>45923</v>
          </cell>
          <cell r="T938">
            <v>45923</v>
          </cell>
          <cell r="U938" t="str">
            <v>E01219719</v>
          </cell>
          <cell r="V938" t="str">
            <v>철근공</v>
          </cell>
          <cell r="W938" t="str">
            <v>베트남</v>
          </cell>
        </row>
        <row r="939">
          <cell r="A939" t="str">
            <v>딘반민</v>
          </cell>
          <cell r="C939" t="str">
            <v>000203-5</v>
          </cell>
          <cell r="D939" t="str">
            <v>010-7610-7814</v>
          </cell>
          <cell r="E939">
            <v>192000</v>
          </cell>
          <cell r="F939" t="str">
            <v>남</v>
          </cell>
          <cell r="G939">
            <v>27</v>
          </cell>
          <cell r="H939" t="str">
            <v>외국인</v>
          </cell>
          <cell r="I939" t="str">
            <v>DINH VAN MINH</v>
          </cell>
          <cell r="J939" t="str">
            <v>철근공</v>
          </cell>
          <cell r="K939" t="str">
            <v>정댕궁</v>
          </cell>
          <cell r="L939" t="str">
            <v>347-910488-41807</v>
          </cell>
          <cell r="M939" t="str">
            <v>하나은행</v>
          </cell>
          <cell r="N939" t="str">
            <v>DINH VAN MINH</v>
          </cell>
          <cell r="O939" t="str">
            <v>계좌반환</v>
          </cell>
          <cell r="Q939" t="str">
            <v/>
          </cell>
          <cell r="S939">
            <v>45923</v>
          </cell>
          <cell r="T939">
            <v>45923</v>
          </cell>
          <cell r="U939" t="str">
            <v>K0120081</v>
          </cell>
          <cell r="V939" t="str">
            <v>철근공</v>
          </cell>
          <cell r="W939" t="str">
            <v>베트남</v>
          </cell>
        </row>
        <row r="940">
          <cell r="A940" t="str">
            <v>판휘빈</v>
          </cell>
          <cell r="C940" t="str">
            <v>031022-5</v>
          </cell>
          <cell r="D940" t="str">
            <v>010-2157-2003</v>
          </cell>
          <cell r="E940">
            <v>192000</v>
          </cell>
          <cell r="F940" t="str">
            <v>남</v>
          </cell>
          <cell r="G940">
            <v>24</v>
          </cell>
          <cell r="H940" t="str">
            <v>외국인</v>
          </cell>
          <cell r="I940" t="str">
            <v>PHAN HUYBINH</v>
          </cell>
          <cell r="J940" t="str">
            <v>철근공</v>
          </cell>
          <cell r="K940" t="str">
            <v>정댕궁</v>
          </cell>
          <cell r="O940">
            <v>44607</v>
          </cell>
          <cell r="Q940" t="str">
            <v/>
          </cell>
          <cell r="S940">
            <v>45923</v>
          </cell>
          <cell r="T940">
            <v>45923</v>
          </cell>
          <cell r="U940" t="str">
            <v>C9781631</v>
          </cell>
          <cell r="V940" t="str">
            <v>철근공</v>
          </cell>
          <cell r="W940" t="str">
            <v>베트남</v>
          </cell>
        </row>
        <row r="941">
          <cell r="A941" t="str">
            <v>호공안</v>
          </cell>
          <cell r="C941" t="str">
            <v>030711-5</v>
          </cell>
          <cell r="D941" t="str">
            <v>010-2157-2003</v>
          </cell>
          <cell r="E941">
            <v>192000</v>
          </cell>
          <cell r="F941" t="str">
            <v>남</v>
          </cell>
          <cell r="G941">
            <v>24</v>
          </cell>
          <cell r="H941" t="str">
            <v>외국인</v>
          </cell>
          <cell r="I941" t="str">
            <v xml:space="preserve">HO CONG AN </v>
          </cell>
          <cell r="J941" t="str">
            <v>철근공</v>
          </cell>
          <cell r="K941" t="str">
            <v>정댕궁</v>
          </cell>
          <cell r="L941" t="str">
            <v>1002-463-843235</v>
          </cell>
          <cell r="M941" t="str">
            <v>우리</v>
          </cell>
          <cell r="N941" t="str">
            <v xml:space="preserve">HO CONG AN </v>
          </cell>
          <cell r="Q941" t="str">
            <v/>
          </cell>
          <cell r="S941">
            <v>45923</v>
          </cell>
          <cell r="T941">
            <v>45923</v>
          </cell>
          <cell r="U941" t="str">
            <v>C9765077</v>
          </cell>
          <cell r="V941" t="str">
            <v>철근공</v>
          </cell>
          <cell r="W941" t="str">
            <v>베트남</v>
          </cell>
        </row>
        <row r="942">
          <cell r="A942" t="str">
            <v>보득휘</v>
          </cell>
          <cell r="C942" t="str">
            <v>020320-5</v>
          </cell>
          <cell r="D942" t="str">
            <v>010-9517-8866</v>
          </cell>
          <cell r="E942">
            <v>192000</v>
          </cell>
          <cell r="F942" t="str">
            <v>남</v>
          </cell>
          <cell r="G942">
            <v>25</v>
          </cell>
          <cell r="H942" t="str">
            <v>외국인</v>
          </cell>
          <cell r="I942" t="str">
            <v>VO DUC HUY</v>
          </cell>
          <cell r="J942" t="str">
            <v>철근공</v>
          </cell>
          <cell r="K942" t="str">
            <v>정댕궁</v>
          </cell>
          <cell r="L942" t="str">
            <v>53691050930507</v>
          </cell>
          <cell r="M942" t="str">
            <v>하나은행</v>
          </cell>
          <cell r="N942" t="str">
            <v>VO DUC HUY</v>
          </cell>
          <cell r="O942" t="str">
            <v>계좌반환</v>
          </cell>
          <cell r="Q942" t="str">
            <v/>
          </cell>
          <cell r="S942">
            <v>45923</v>
          </cell>
          <cell r="T942">
            <v>45923</v>
          </cell>
          <cell r="U942" t="str">
            <v>C9603756</v>
          </cell>
          <cell r="V942" t="str">
            <v>철근공</v>
          </cell>
          <cell r="W942" t="str">
            <v>베트남</v>
          </cell>
        </row>
        <row r="943">
          <cell r="A943" t="str">
            <v>당시수안</v>
          </cell>
          <cell r="C943" t="str">
            <v>810203-5</v>
          </cell>
          <cell r="D943" t="str">
            <v>010-2973-1980</v>
          </cell>
          <cell r="E943">
            <v>192000</v>
          </cell>
          <cell r="F943" t="str">
            <v>남</v>
          </cell>
          <cell r="G943">
            <v>46</v>
          </cell>
          <cell r="H943" t="str">
            <v>외국인</v>
          </cell>
          <cell r="I943" t="str">
            <v>DANG SY XUAN</v>
          </cell>
          <cell r="J943" t="str">
            <v>철근공</v>
          </cell>
          <cell r="K943" t="str">
            <v>정댕궁</v>
          </cell>
          <cell r="L943" t="str">
            <v>705-911264-43407</v>
          </cell>
          <cell r="M943" t="str">
            <v>하나은행</v>
          </cell>
          <cell r="N943" t="str">
            <v>DANG SY XUAN</v>
          </cell>
          <cell r="Q943" t="str">
            <v/>
          </cell>
          <cell r="S943">
            <v>45923</v>
          </cell>
          <cell r="T943">
            <v>45923</v>
          </cell>
          <cell r="U943" t="str">
            <v>C8799101</v>
          </cell>
          <cell r="V943" t="str">
            <v>철근공</v>
          </cell>
          <cell r="W943" t="str">
            <v>베트남</v>
          </cell>
        </row>
        <row r="944">
          <cell r="A944" t="str">
            <v>판반랩</v>
          </cell>
          <cell r="C944" t="str">
            <v>930327-5</v>
          </cell>
          <cell r="D944" t="str">
            <v>010-6675-0747</v>
          </cell>
          <cell r="E944">
            <v>192000</v>
          </cell>
          <cell r="F944" t="str">
            <v>남</v>
          </cell>
          <cell r="G944">
            <v>34</v>
          </cell>
          <cell r="H944" t="str">
            <v>외국인</v>
          </cell>
          <cell r="I944" t="str">
            <v>PHAN VAN LAP</v>
          </cell>
          <cell r="J944" t="str">
            <v>철근공</v>
          </cell>
          <cell r="K944" t="str">
            <v>정댕궁</v>
          </cell>
          <cell r="Q944" t="str">
            <v/>
          </cell>
          <cell r="S944">
            <v>45923</v>
          </cell>
          <cell r="T944">
            <v>45923</v>
          </cell>
          <cell r="U944" t="str">
            <v>B6111492</v>
          </cell>
          <cell r="V944" t="str">
            <v>철근공</v>
          </cell>
          <cell r="W944" t="str">
            <v>베트남</v>
          </cell>
        </row>
        <row r="945">
          <cell r="F945" t="str">
            <v/>
          </cell>
          <cell r="G945" t="str">
            <v/>
          </cell>
          <cell r="H945" t="str">
            <v/>
          </cell>
          <cell r="Q945" t="str">
            <v/>
          </cell>
        </row>
        <row r="946">
          <cell r="A946" t="str">
            <v>윤해봉</v>
          </cell>
          <cell r="B946" t="str">
            <v>수원시 장안구 정자동68-11</v>
          </cell>
          <cell r="C946" t="str">
            <v>850609-5760026</v>
          </cell>
          <cell r="D946" t="str">
            <v>010-2217-5188</v>
          </cell>
          <cell r="E946">
            <v>230000</v>
          </cell>
          <cell r="F946" t="str">
            <v>남</v>
          </cell>
          <cell r="G946">
            <v>42</v>
          </cell>
          <cell r="H946" t="str">
            <v>외국인</v>
          </cell>
          <cell r="I946" t="str">
            <v>YIN HAIFENG</v>
          </cell>
          <cell r="J946" t="str">
            <v xml:space="preserve"> 철근공</v>
          </cell>
          <cell r="K946" t="str">
            <v>윤해봉</v>
          </cell>
          <cell r="L946" t="str">
            <v>221701-04-399908</v>
          </cell>
          <cell r="M946" t="str">
            <v>국민은행</v>
          </cell>
          <cell r="N946" t="str">
            <v>YIN HAIFENG</v>
          </cell>
          <cell r="Q946" t="str">
            <v/>
          </cell>
          <cell r="R946">
            <v>45967</v>
          </cell>
          <cell r="T946">
            <v>45967</v>
          </cell>
          <cell r="V946" t="str">
            <v>철근공</v>
          </cell>
        </row>
        <row r="947">
          <cell r="A947" t="str">
            <v>나태술</v>
          </cell>
          <cell r="B947" t="str">
            <v>수원시 팔달구 동말로10</v>
          </cell>
          <cell r="C947" t="str">
            <v>760514-5</v>
          </cell>
          <cell r="D947" t="str">
            <v>010-3604-7758</v>
          </cell>
          <cell r="E947">
            <v>230000</v>
          </cell>
          <cell r="F947" t="str">
            <v>남</v>
          </cell>
          <cell r="G947">
            <v>51</v>
          </cell>
          <cell r="H947" t="str">
            <v>외국인</v>
          </cell>
          <cell r="I947" t="str">
            <v>LUOTAISHU</v>
          </cell>
          <cell r="J947" t="str">
            <v xml:space="preserve"> 철근공</v>
          </cell>
          <cell r="O947">
            <v>41221</v>
          </cell>
          <cell r="Q947" t="str">
            <v/>
          </cell>
          <cell r="R947">
            <v>45967</v>
          </cell>
          <cell r="S947">
            <v>45967</v>
          </cell>
          <cell r="T947">
            <v>45967</v>
          </cell>
          <cell r="U947" t="str">
            <v>EJ5180028</v>
          </cell>
          <cell r="V947" t="str">
            <v>철근공</v>
          </cell>
          <cell r="W947" t="str">
            <v>중국</v>
          </cell>
        </row>
        <row r="948">
          <cell r="A948" t="str">
            <v>김광준</v>
          </cell>
          <cell r="B948" t="str">
            <v>수원시 팔달구 중부대로 170번길</v>
          </cell>
          <cell r="C948" t="str">
            <v>780613-5</v>
          </cell>
          <cell r="D948" t="str">
            <v>010-7567-0109</v>
          </cell>
          <cell r="E948">
            <v>230000</v>
          </cell>
          <cell r="F948" t="str">
            <v>남</v>
          </cell>
          <cell r="G948">
            <v>49</v>
          </cell>
          <cell r="H948" t="str">
            <v>외국인</v>
          </cell>
          <cell r="I948" t="str">
            <v>JIN GUANGJUN</v>
          </cell>
          <cell r="J948" t="str">
            <v xml:space="preserve"> 철근공</v>
          </cell>
          <cell r="O948">
            <v>41257</v>
          </cell>
          <cell r="R948">
            <v>45967</v>
          </cell>
          <cell r="S948">
            <v>45967</v>
          </cell>
          <cell r="T948">
            <v>45967</v>
          </cell>
          <cell r="U948" t="str">
            <v>EJ4341919</v>
          </cell>
          <cell r="V948" t="str">
            <v>철근공</v>
          </cell>
          <cell r="W948" t="str">
            <v>중국</v>
          </cell>
        </row>
        <row r="949">
          <cell r="A949" t="str">
            <v>고관이</v>
          </cell>
          <cell r="B949" t="str">
            <v>경기 화성시 효행로 265번길 17</v>
          </cell>
          <cell r="C949" t="str">
            <v>830126-5</v>
          </cell>
          <cell r="D949" t="str">
            <v>010-8385-2956</v>
          </cell>
          <cell r="E949">
            <v>230000</v>
          </cell>
          <cell r="F949" t="str">
            <v>남</v>
          </cell>
          <cell r="G949">
            <v>44</v>
          </cell>
          <cell r="H949" t="str">
            <v>외국인</v>
          </cell>
          <cell r="I949" t="str">
            <v>GAO GUANYI</v>
          </cell>
          <cell r="J949" t="str">
            <v xml:space="preserve"> 철근공</v>
          </cell>
          <cell r="O949">
            <v>43186</v>
          </cell>
          <cell r="R949">
            <v>45967</v>
          </cell>
          <cell r="S949">
            <v>45967</v>
          </cell>
          <cell r="T949">
            <v>45967</v>
          </cell>
          <cell r="U949" t="str">
            <v>EJ6135596</v>
          </cell>
          <cell r="V949" t="str">
            <v>철근공</v>
          </cell>
          <cell r="W949" t="str">
            <v>중국</v>
          </cell>
        </row>
        <row r="950">
          <cell r="A950" t="str">
            <v>박철휘</v>
          </cell>
          <cell r="B950" t="str">
            <v>수원시 팔달로 153번길 25-8</v>
          </cell>
          <cell r="C950" t="str">
            <v>850507-5</v>
          </cell>
          <cell r="D950" t="str">
            <v>010-2345-9644</v>
          </cell>
          <cell r="E950">
            <v>230000</v>
          </cell>
          <cell r="F950" t="str">
            <v>남</v>
          </cell>
          <cell r="G950">
            <v>42</v>
          </cell>
          <cell r="H950" t="str">
            <v>외국인</v>
          </cell>
          <cell r="I950" t="str">
            <v>PIAO ZHEHUI</v>
          </cell>
          <cell r="J950" t="str">
            <v xml:space="preserve"> 철근공</v>
          </cell>
          <cell r="O950">
            <v>42580</v>
          </cell>
          <cell r="R950">
            <v>45967</v>
          </cell>
          <cell r="S950">
            <v>45967</v>
          </cell>
          <cell r="T950">
            <v>45967</v>
          </cell>
          <cell r="U950" t="str">
            <v>EJ5189246</v>
          </cell>
          <cell r="V950" t="str">
            <v>철근공</v>
          </cell>
          <cell r="W950" t="str">
            <v>중국</v>
          </cell>
        </row>
        <row r="951">
          <cell r="A951" t="str">
            <v>하의</v>
          </cell>
          <cell r="B951" t="str">
            <v>수원시 권선구 탑동 822-11</v>
          </cell>
          <cell r="C951" t="str">
            <v>930128-5</v>
          </cell>
          <cell r="D951" t="str">
            <v>010-2301-0318</v>
          </cell>
          <cell r="E951">
            <v>230000</v>
          </cell>
          <cell r="F951" t="str">
            <v>남</v>
          </cell>
          <cell r="G951">
            <v>34</v>
          </cell>
          <cell r="H951" t="str">
            <v>외국인</v>
          </cell>
          <cell r="I951" t="str">
            <v>HE YI</v>
          </cell>
          <cell r="J951" t="str">
            <v xml:space="preserve"> 철근공</v>
          </cell>
          <cell r="O951">
            <v>42415</v>
          </cell>
          <cell r="R951">
            <v>45967</v>
          </cell>
          <cell r="S951">
            <v>45967</v>
          </cell>
          <cell r="T951">
            <v>45967</v>
          </cell>
          <cell r="U951" t="str">
            <v>EJ6464989</v>
          </cell>
          <cell r="V951" t="str">
            <v>철근공</v>
          </cell>
          <cell r="W951" t="str">
            <v>중국</v>
          </cell>
        </row>
        <row r="952">
          <cell r="A952" t="str">
            <v>이광헌</v>
          </cell>
          <cell r="B952" t="str">
            <v>수원시 팔달구 고등동 66-17</v>
          </cell>
          <cell r="C952" t="str">
            <v>620505-5</v>
          </cell>
          <cell r="D952" t="str">
            <v>010-2247-6888</v>
          </cell>
          <cell r="E952">
            <v>230000</v>
          </cell>
          <cell r="F952" t="str">
            <v>남</v>
          </cell>
          <cell r="G952">
            <v>65</v>
          </cell>
          <cell r="H952" t="str">
            <v>외국인</v>
          </cell>
          <cell r="I952" t="str">
            <v>LIGUANGXIAN</v>
          </cell>
          <cell r="J952" t="str">
            <v xml:space="preserve"> 철근공</v>
          </cell>
          <cell r="O952">
            <v>41115</v>
          </cell>
          <cell r="R952">
            <v>45967</v>
          </cell>
          <cell r="S952">
            <v>45967</v>
          </cell>
          <cell r="T952">
            <v>45967</v>
          </cell>
          <cell r="U952" t="str">
            <v>EJ5375303</v>
          </cell>
          <cell r="V952" t="str">
            <v>철근공</v>
          </cell>
          <cell r="W952" t="str">
            <v>중국</v>
          </cell>
        </row>
        <row r="953">
          <cell r="A953" t="str">
            <v>성우중인</v>
          </cell>
          <cell r="B953" t="str">
            <v>수원시 팔달구 고등동 7-20</v>
          </cell>
          <cell r="C953" t="str">
            <v>721107-5</v>
          </cell>
          <cell r="D953" t="str">
            <v>010-9773-3238</v>
          </cell>
          <cell r="E953">
            <v>230000</v>
          </cell>
          <cell r="F953" t="str">
            <v>남</v>
          </cell>
          <cell r="G953">
            <v>55</v>
          </cell>
          <cell r="H953" t="str">
            <v>외국인</v>
          </cell>
          <cell r="I953" t="str">
            <v>XIANYU ZHONGREN</v>
          </cell>
          <cell r="J953" t="str">
            <v xml:space="preserve"> 철근공</v>
          </cell>
          <cell r="O953">
            <v>42170</v>
          </cell>
          <cell r="R953">
            <v>45967</v>
          </cell>
          <cell r="S953">
            <v>45967</v>
          </cell>
          <cell r="T953">
            <v>45967</v>
          </cell>
          <cell r="U953" t="str">
            <v>EH4902079</v>
          </cell>
          <cell r="V953" t="str">
            <v>철근공</v>
          </cell>
          <cell r="W953" t="str">
            <v>중국</v>
          </cell>
        </row>
        <row r="954">
          <cell r="A954" t="str">
            <v>김성군</v>
          </cell>
          <cell r="B954" t="str">
            <v>경기도 수원시 팔달구 매산로 96번길</v>
          </cell>
          <cell r="C954" t="str">
            <v>751006-5</v>
          </cell>
          <cell r="D954" t="str">
            <v>010-7695-6286</v>
          </cell>
          <cell r="E954">
            <v>230000</v>
          </cell>
          <cell r="F954" t="str">
            <v>남</v>
          </cell>
          <cell r="G954">
            <v>52</v>
          </cell>
          <cell r="H954" t="str">
            <v>외국인</v>
          </cell>
          <cell r="I954" t="str">
            <v>JIN CHENGJUN</v>
          </cell>
          <cell r="J954" t="str">
            <v xml:space="preserve"> 철근공</v>
          </cell>
          <cell r="O954">
            <v>42905</v>
          </cell>
          <cell r="R954">
            <v>45967</v>
          </cell>
          <cell r="S954">
            <v>45967</v>
          </cell>
          <cell r="T954">
            <v>45967</v>
          </cell>
          <cell r="U954" t="str">
            <v>EP3200123</v>
          </cell>
          <cell r="V954" t="str">
            <v>철근공</v>
          </cell>
          <cell r="W954" t="str">
            <v>중국</v>
          </cell>
        </row>
        <row r="955">
          <cell r="A955" t="str">
            <v>이성철철</v>
          </cell>
          <cell r="B955" t="str">
            <v>수원시 팔달구 화량로 24번길 45-7</v>
          </cell>
          <cell r="C955" t="str">
            <v>731209-5</v>
          </cell>
          <cell r="D955" t="str">
            <v>010-3744-5180</v>
          </cell>
          <cell r="E955">
            <v>230000</v>
          </cell>
          <cell r="F955" t="str">
            <v>남</v>
          </cell>
          <cell r="G955">
            <v>54</v>
          </cell>
          <cell r="H955" t="str">
            <v>외국인</v>
          </cell>
          <cell r="I955" t="str">
            <v>LI CHENGZHE</v>
          </cell>
          <cell r="J955" t="str">
            <v xml:space="preserve"> 철근공</v>
          </cell>
          <cell r="O955">
            <v>41709</v>
          </cell>
          <cell r="R955">
            <v>45967</v>
          </cell>
          <cell r="S955">
            <v>45967</v>
          </cell>
          <cell r="T955">
            <v>45967</v>
          </cell>
          <cell r="U955" t="str">
            <v>EE7840466</v>
          </cell>
          <cell r="V955" t="str">
            <v>철근공</v>
          </cell>
          <cell r="W955" t="str">
            <v>중국</v>
          </cell>
        </row>
        <row r="956">
          <cell r="A956" t="str">
            <v>박일남</v>
          </cell>
          <cell r="B956" t="str">
            <v>수원시 팔달구 화량로 38번길</v>
          </cell>
          <cell r="C956" t="str">
            <v>660610-5</v>
          </cell>
          <cell r="D956" t="str">
            <v>010-8249-6961</v>
          </cell>
          <cell r="E956">
            <v>230000</v>
          </cell>
          <cell r="F956" t="str">
            <v>남</v>
          </cell>
          <cell r="G956">
            <v>61</v>
          </cell>
          <cell r="H956" t="str">
            <v>외국인</v>
          </cell>
          <cell r="I956" t="str">
            <v>PIAO RINAN</v>
          </cell>
          <cell r="J956" t="str">
            <v xml:space="preserve"> 철근공</v>
          </cell>
          <cell r="O956">
            <v>41341</v>
          </cell>
          <cell r="R956">
            <v>45967</v>
          </cell>
          <cell r="S956">
            <v>45967</v>
          </cell>
          <cell r="T956">
            <v>45967</v>
          </cell>
          <cell r="U956" t="str">
            <v>E93043623</v>
          </cell>
          <cell r="V956" t="str">
            <v>철근공</v>
          </cell>
          <cell r="W956" t="str">
            <v>중국</v>
          </cell>
        </row>
        <row r="957">
          <cell r="A957" t="str">
            <v>탄량</v>
          </cell>
          <cell r="B957" t="str">
            <v>수원시 장안구 팔달로 225번길16</v>
          </cell>
          <cell r="C957" t="str">
            <v>841120-5</v>
          </cell>
          <cell r="D957" t="str">
            <v>010-6469-8768</v>
          </cell>
          <cell r="E957">
            <v>230000</v>
          </cell>
          <cell r="F957" t="str">
            <v>남</v>
          </cell>
          <cell r="G957">
            <v>43</v>
          </cell>
          <cell r="H957" t="str">
            <v>외국인</v>
          </cell>
          <cell r="I957" t="str">
            <v>TAN LIANG</v>
          </cell>
          <cell r="J957" t="str">
            <v xml:space="preserve"> 철근공</v>
          </cell>
          <cell r="O957">
            <v>43822</v>
          </cell>
          <cell r="R957">
            <v>45967</v>
          </cell>
          <cell r="S957">
            <v>45967</v>
          </cell>
          <cell r="T957">
            <v>45967</v>
          </cell>
          <cell r="U957" t="str">
            <v>EL2626698</v>
          </cell>
          <cell r="V957" t="str">
            <v>철근공</v>
          </cell>
          <cell r="W957" t="str">
            <v>중국</v>
          </cell>
        </row>
        <row r="958">
          <cell r="A958" t="str">
            <v>장지용</v>
          </cell>
          <cell r="B958" t="str">
            <v>수원시 팔달구 173번길</v>
          </cell>
          <cell r="C958" t="str">
            <v>710912-5</v>
          </cell>
          <cell r="D958" t="str">
            <v>010-3583-1877</v>
          </cell>
          <cell r="E958">
            <v>230000</v>
          </cell>
          <cell r="F958" t="str">
            <v>남</v>
          </cell>
          <cell r="G958">
            <v>56</v>
          </cell>
          <cell r="H958" t="str">
            <v>외국인</v>
          </cell>
          <cell r="I958" t="str">
            <v>ZHANG ZHIYONG</v>
          </cell>
          <cell r="J958" t="str">
            <v xml:space="preserve"> 철근공</v>
          </cell>
          <cell r="O958">
            <v>43689</v>
          </cell>
          <cell r="R958">
            <v>45967</v>
          </cell>
          <cell r="S958">
            <v>45967</v>
          </cell>
          <cell r="T958">
            <v>45967</v>
          </cell>
          <cell r="U958" t="str">
            <v>EJ4265012</v>
          </cell>
          <cell r="V958" t="str">
            <v>철근공</v>
          </cell>
          <cell r="W958" t="str">
            <v>중국</v>
          </cell>
        </row>
        <row r="959">
          <cell r="A959" t="str">
            <v>이진걸</v>
          </cell>
          <cell r="B959" t="str">
            <v>수원시 팔달구 고승동 80-11</v>
          </cell>
          <cell r="C959" t="str">
            <v>861011-5</v>
          </cell>
          <cell r="D959" t="str">
            <v>010-2456-7518</v>
          </cell>
          <cell r="E959">
            <v>230000</v>
          </cell>
          <cell r="F959" t="str">
            <v>남</v>
          </cell>
          <cell r="G959">
            <v>41</v>
          </cell>
          <cell r="H959" t="str">
            <v>외국인</v>
          </cell>
          <cell r="I959" t="str">
            <v>LI ZHENJIE</v>
          </cell>
          <cell r="J959" t="str">
            <v xml:space="preserve"> 철근공</v>
          </cell>
          <cell r="O959">
            <v>41850</v>
          </cell>
          <cell r="R959">
            <v>45968</v>
          </cell>
          <cell r="S959">
            <v>45968</v>
          </cell>
          <cell r="T959">
            <v>45968</v>
          </cell>
          <cell r="U959" t="str">
            <v>EJ4795217</v>
          </cell>
          <cell r="V959" t="str">
            <v>철근공</v>
          </cell>
          <cell r="W959" t="str">
            <v>중국</v>
          </cell>
        </row>
        <row r="960">
          <cell r="A960" t="str">
            <v>우춘위</v>
          </cell>
          <cell r="B960" t="str">
            <v>경기도 수원시 팔달구 고화로71번길</v>
          </cell>
          <cell r="C960" t="str">
            <v>870406-5</v>
          </cell>
          <cell r="D960" t="str">
            <v>010-7613-5715</v>
          </cell>
          <cell r="E960">
            <v>230000</v>
          </cell>
          <cell r="F960" t="str">
            <v>남</v>
          </cell>
          <cell r="G960">
            <v>40</v>
          </cell>
          <cell r="H960" t="str">
            <v>외국인</v>
          </cell>
          <cell r="I960" t="str">
            <v>YU CHUNWEI</v>
          </cell>
          <cell r="J960" t="str">
            <v xml:space="preserve"> 철근공</v>
          </cell>
          <cell r="O960">
            <v>43579</v>
          </cell>
          <cell r="R960">
            <v>45968</v>
          </cell>
          <cell r="S960">
            <v>45968</v>
          </cell>
          <cell r="T960">
            <v>45968</v>
          </cell>
          <cell r="U960" t="str">
            <v>E99312509</v>
          </cell>
          <cell r="V960" t="str">
            <v>철근공</v>
          </cell>
          <cell r="W960" t="str">
            <v>중국</v>
          </cell>
        </row>
        <row r="961">
          <cell r="A961" t="str">
            <v>이태헌</v>
          </cell>
          <cell r="B961" t="str">
            <v>수원시 팔달구 발달구 82</v>
          </cell>
          <cell r="C961" t="str">
            <v>831015-5</v>
          </cell>
          <cell r="D961" t="str">
            <v>010-5856-1615</v>
          </cell>
          <cell r="E961">
            <v>230000</v>
          </cell>
          <cell r="F961" t="str">
            <v>남</v>
          </cell>
          <cell r="G961">
            <v>44</v>
          </cell>
          <cell r="H961" t="str">
            <v>외국인</v>
          </cell>
          <cell r="I961" t="str">
            <v>LI TAIXIAN</v>
          </cell>
          <cell r="J961" t="str">
            <v xml:space="preserve"> 철근공</v>
          </cell>
          <cell r="O961">
            <v>42083</v>
          </cell>
          <cell r="R961">
            <v>45968</v>
          </cell>
          <cell r="S961">
            <v>45968</v>
          </cell>
          <cell r="T961">
            <v>45968</v>
          </cell>
          <cell r="U961" t="str">
            <v>EN5256154</v>
          </cell>
          <cell r="V961" t="str">
            <v>철근공</v>
          </cell>
          <cell r="W961" t="str">
            <v>중국</v>
          </cell>
        </row>
        <row r="962">
          <cell r="A962" t="str">
            <v>김광길</v>
          </cell>
          <cell r="B962" t="str">
            <v>원주시 상지대길</v>
          </cell>
          <cell r="C962" t="str">
            <v>820507-5</v>
          </cell>
          <cell r="D962" t="str">
            <v>010-5168-7127</v>
          </cell>
          <cell r="E962">
            <v>230000</v>
          </cell>
          <cell r="F962" t="str">
            <v>남</v>
          </cell>
          <cell r="G962">
            <v>45</v>
          </cell>
          <cell r="H962" t="str">
            <v>외국인</v>
          </cell>
          <cell r="I962" t="str">
            <v>JIN GUANGJI</v>
          </cell>
          <cell r="J962" t="str">
            <v>철근공</v>
          </cell>
          <cell r="O962">
            <v>44468</v>
          </cell>
          <cell r="R962">
            <v>45969</v>
          </cell>
          <cell r="S962">
            <v>45969</v>
          </cell>
          <cell r="T962">
            <v>45969</v>
          </cell>
          <cell r="U962" t="str">
            <v>EB6260905</v>
          </cell>
          <cell r="V962" t="str">
            <v>철근공</v>
          </cell>
          <cell r="W962" t="str">
            <v>중국</v>
          </cell>
        </row>
        <row r="963">
          <cell r="A963" t="str">
            <v>한옥걸</v>
          </cell>
          <cell r="B963" t="str">
            <v>원주시 상지대길</v>
          </cell>
          <cell r="C963" t="str">
            <v>871028-5</v>
          </cell>
          <cell r="D963" t="str">
            <v>010-8407-9172</v>
          </cell>
          <cell r="E963">
            <v>230000</v>
          </cell>
          <cell r="F963" t="str">
            <v>남</v>
          </cell>
          <cell r="G963">
            <v>40</v>
          </cell>
          <cell r="H963" t="str">
            <v>외국인</v>
          </cell>
          <cell r="I963" t="str">
            <v>HAN YUJIE</v>
          </cell>
          <cell r="J963" t="str">
            <v>철근공</v>
          </cell>
          <cell r="O963">
            <v>44607</v>
          </cell>
          <cell r="R963">
            <v>45969</v>
          </cell>
          <cell r="S963">
            <v>45969</v>
          </cell>
          <cell r="T963">
            <v>45969</v>
          </cell>
          <cell r="U963" t="str">
            <v>EL6949760</v>
          </cell>
          <cell r="V963" t="str">
            <v>철근공</v>
          </cell>
          <cell r="W963" t="str">
            <v>중국</v>
          </cell>
        </row>
        <row r="964">
          <cell r="A964" t="str">
            <v>황인성</v>
          </cell>
          <cell r="C964" t="str">
            <v>830613-5760024</v>
          </cell>
          <cell r="D964" t="str">
            <v>010-8244-9884</v>
          </cell>
          <cell r="E964">
            <v>230000</v>
          </cell>
          <cell r="F964" t="str">
            <v>남</v>
          </cell>
          <cell r="G964">
            <v>44</v>
          </cell>
          <cell r="H964" t="str">
            <v>외국인</v>
          </cell>
          <cell r="I964" t="str">
            <v>HUANG RENCHENG</v>
          </cell>
          <cell r="J964" t="str">
            <v>철근공</v>
          </cell>
          <cell r="O964">
            <v>41740</v>
          </cell>
          <cell r="R964">
            <v>45971</v>
          </cell>
          <cell r="S964">
            <v>45971</v>
          </cell>
          <cell r="T964">
            <v>45971</v>
          </cell>
          <cell r="U964" t="str">
            <v>E93862522</v>
          </cell>
          <cell r="V964" t="str">
            <v>철근공</v>
          </cell>
          <cell r="W964" t="str">
            <v>중국</v>
          </cell>
        </row>
        <row r="965">
          <cell r="A965" t="str">
            <v>박춘광</v>
          </cell>
          <cell r="C965" t="str">
            <v>710402-5760293</v>
          </cell>
          <cell r="D965" t="str">
            <v>010-5019-3118</v>
          </cell>
          <cell r="E965">
            <v>230000</v>
          </cell>
          <cell r="F965" t="str">
            <v>남</v>
          </cell>
          <cell r="G965">
            <v>56</v>
          </cell>
          <cell r="H965" t="str">
            <v>외국인</v>
          </cell>
          <cell r="I965" t="str">
            <v>PIAO CHUNGUANG</v>
          </cell>
          <cell r="J965" t="str">
            <v>철근공</v>
          </cell>
          <cell r="O965">
            <v>41263</v>
          </cell>
          <cell r="R965">
            <v>45971</v>
          </cell>
          <cell r="S965">
            <v>45971</v>
          </cell>
          <cell r="T965">
            <v>45971</v>
          </cell>
          <cell r="U965" t="str">
            <v>EC6203212</v>
          </cell>
          <cell r="V965" t="str">
            <v>철근공</v>
          </cell>
          <cell r="W965" t="str">
            <v>중국</v>
          </cell>
        </row>
        <row r="966">
          <cell r="A966" t="str">
            <v>김춘복</v>
          </cell>
          <cell r="C966" t="str">
            <v>800507-5760033</v>
          </cell>
          <cell r="D966" t="str">
            <v>010-2198-8282</v>
          </cell>
          <cell r="E966">
            <v>230000</v>
          </cell>
          <cell r="F966" t="str">
            <v>남</v>
          </cell>
          <cell r="G966">
            <v>47</v>
          </cell>
          <cell r="H966" t="str">
            <v>외국인</v>
          </cell>
          <cell r="I966" t="str">
            <v>JIN CHUNFU</v>
          </cell>
          <cell r="J966" t="str">
            <v>철근공</v>
          </cell>
          <cell r="O966">
            <v>44063</v>
          </cell>
          <cell r="R966">
            <v>45971</v>
          </cell>
          <cell r="S966">
            <v>45971</v>
          </cell>
          <cell r="T966">
            <v>45971</v>
          </cell>
          <cell r="U966" t="str">
            <v>EJ5496490</v>
          </cell>
          <cell r="V966" t="str">
            <v>철근공</v>
          </cell>
          <cell r="W966" t="str">
            <v>중국</v>
          </cell>
        </row>
        <row r="967">
          <cell r="A967" t="str">
            <v>염태호</v>
          </cell>
          <cell r="B967" t="str">
            <v>수원시 팔달구 청룡대로8</v>
          </cell>
          <cell r="C967" t="str">
            <v>780908-5760023</v>
          </cell>
          <cell r="D967" t="str">
            <v>010-2499-5818</v>
          </cell>
          <cell r="F967" t="str">
            <v>남</v>
          </cell>
          <cell r="G967">
            <v>49</v>
          </cell>
          <cell r="H967" t="str">
            <v>외국인</v>
          </cell>
          <cell r="I967" t="str">
            <v>LIAN TAIHU</v>
          </cell>
          <cell r="J967" t="str">
            <v>철근공</v>
          </cell>
          <cell r="K967" t="str">
            <v>직영</v>
          </cell>
          <cell r="O967">
            <v>41525</v>
          </cell>
          <cell r="P967" t="str">
            <v>영주F-5</v>
          </cell>
          <cell r="Q967">
            <v>47462</v>
          </cell>
          <cell r="R967">
            <v>45972</v>
          </cell>
          <cell r="S967">
            <v>45972</v>
          </cell>
          <cell r="T967">
            <v>45972</v>
          </cell>
          <cell r="V967" t="str">
            <v>철근공</v>
          </cell>
          <cell r="W967" t="str">
            <v>중국</v>
          </cell>
        </row>
        <row r="968">
          <cell r="A968" t="str">
            <v>계춘복</v>
          </cell>
          <cell r="B968" t="str">
            <v>수원시 팔달구 창룡문로8-1,302</v>
          </cell>
          <cell r="C968" t="str">
            <v>770116-5101799</v>
          </cell>
          <cell r="D968" t="str">
            <v>010-8955-9111</v>
          </cell>
          <cell r="F968" t="str">
            <v>남</v>
          </cell>
          <cell r="G968">
            <v>50</v>
          </cell>
          <cell r="H968" t="str">
            <v>외국인</v>
          </cell>
          <cell r="I968" t="str">
            <v>GUI CHUNFU</v>
          </cell>
          <cell r="J968" t="str">
            <v>철근공</v>
          </cell>
          <cell r="K968" t="str">
            <v>직영</v>
          </cell>
          <cell r="O968">
            <v>42760</v>
          </cell>
          <cell r="P968" t="str">
            <v>영주F-5</v>
          </cell>
          <cell r="Q968">
            <v>48753</v>
          </cell>
          <cell r="R968">
            <v>45972</v>
          </cell>
          <cell r="S968">
            <v>45972</v>
          </cell>
          <cell r="T968">
            <v>45972</v>
          </cell>
          <cell r="V968" t="str">
            <v>철근공</v>
          </cell>
          <cell r="W968" t="str">
            <v>중국</v>
          </cell>
        </row>
        <row r="969">
          <cell r="A969" t="str">
            <v>최용길</v>
          </cell>
          <cell r="B969" t="str">
            <v>수원시 팔달구 고화로51번길 30-4</v>
          </cell>
          <cell r="C969" t="str">
            <v>680308-5</v>
          </cell>
          <cell r="D969" t="str">
            <v>010-2555-6658</v>
          </cell>
          <cell r="F969" t="str">
            <v>남</v>
          </cell>
          <cell r="G969">
            <v>59</v>
          </cell>
          <cell r="H969" t="str">
            <v>외국인</v>
          </cell>
          <cell r="I969" t="str">
            <v>CUI LONGJI</v>
          </cell>
          <cell r="J969" t="str">
            <v>철근공</v>
          </cell>
          <cell r="O969">
            <v>41888</v>
          </cell>
          <cell r="R969">
            <v>45972</v>
          </cell>
          <cell r="S969">
            <v>45972</v>
          </cell>
          <cell r="T969">
            <v>45972</v>
          </cell>
          <cell r="U969" t="str">
            <v>EB8996531</v>
          </cell>
          <cell r="V969" t="str">
            <v>철근공</v>
          </cell>
          <cell r="W969" t="str">
            <v>중국</v>
          </cell>
        </row>
        <row r="970">
          <cell r="A970" t="str">
            <v>곽승</v>
          </cell>
          <cell r="B970" t="str">
            <v>수원시 팔달구 행구로 34-25</v>
          </cell>
          <cell r="C970" t="str">
            <v>780131-5</v>
          </cell>
          <cell r="D970" t="str">
            <v>010-8185-0345</v>
          </cell>
          <cell r="F970" t="str">
            <v>남</v>
          </cell>
          <cell r="G970">
            <v>49</v>
          </cell>
          <cell r="H970" t="str">
            <v>외국인</v>
          </cell>
          <cell r="I970" t="str">
            <v>GUO SHUSHENG</v>
          </cell>
          <cell r="J970" t="str">
            <v>철근공</v>
          </cell>
          <cell r="O970">
            <v>43886</v>
          </cell>
          <cell r="R970">
            <v>45972</v>
          </cell>
          <cell r="S970">
            <v>45972</v>
          </cell>
          <cell r="T970">
            <v>45972</v>
          </cell>
          <cell r="U970" t="str">
            <v>EJ7512653</v>
          </cell>
          <cell r="V970" t="str">
            <v>철근공</v>
          </cell>
          <cell r="W970" t="str">
            <v>중국</v>
          </cell>
        </row>
        <row r="971">
          <cell r="A971" t="str">
            <v>도즈촹</v>
          </cell>
          <cell r="B971" t="str">
            <v>수원시 팔달구 매산로2가66-3</v>
          </cell>
          <cell r="C971" t="str">
            <v>770421-5</v>
          </cell>
          <cell r="D971" t="str">
            <v>010-4311-6469</v>
          </cell>
          <cell r="F971" t="str">
            <v>남</v>
          </cell>
          <cell r="G971">
            <v>50</v>
          </cell>
          <cell r="H971" t="str">
            <v>외국인</v>
          </cell>
          <cell r="I971" t="str">
            <v>DIAO ZHICHUANG</v>
          </cell>
          <cell r="J971" t="str">
            <v>철근공</v>
          </cell>
          <cell r="O971">
            <v>43873</v>
          </cell>
          <cell r="R971">
            <v>45972</v>
          </cell>
          <cell r="S971">
            <v>45972</v>
          </cell>
          <cell r="T971">
            <v>45972</v>
          </cell>
          <cell r="U971" t="str">
            <v>EH7001283</v>
          </cell>
          <cell r="V971" t="str">
            <v>철근공</v>
          </cell>
          <cell r="W971" t="str">
            <v>중국</v>
          </cell>
        </row>
        <row r="972">
          <cell r="F972" t="str">
            <v/>
          </cell>
          <cell r="G972" t="str">
            <v/>
          </cell>
          <cell r="H972" t="str">
            <v/>
          </cell>
          <cell r="Q972" t="str">
            <v/>
          </cell>
        </row>
        <row r="973">
          <cell r="F973" t="str">
            <v/>
          </cell>
          <cell r="G973" t="str">
            <v/>
          </cell>
          <cell r="H973" t="str">
            <v/>
          </cell>
          <cell r="Q973" t="str">
            <v/>
          </cell>
        </row>
        <row r="974">
          <cell r="F974" t="str">
            <v/>
          </cell>
          <cell r="G974" t="str">
            <v/>
          </cell>
          <cell r="H974" t="str">
            <v/>
          </cell>
          <cell r="Q974" t="str">
            <v/>
          </cell>
        </row>
        <row r="975">
          <cell r="A975" t="str">
            <v>콘크리트</v>
          </cell>
          <cell r="F975" t="str">
            <v/>
          </cell>
          <cell r="G975" t="str">
            <v/>
          </cell>
          <cell r="H975" t="str">
            <v/>
          </cell>
          <cell r="Q975" t="str">
            <v/>
          </cell>
        </row>
        <row r="976">
          <cell r="A976" t="str">
            <v>김종팔</v>
          </cell>
          <cell r="B976" t="str">
            <v>경기도 부천시 오정구 삼작로424번길19-4</v>
          </cell>
          <cell r="C976" t="str">
            <v>671024-1659315</v>
          </cell>
          <cell r="D976" t="str">
            <v>010-9039-0171</v>
          </cell>
          <cell r="E976">
            <v>260000</v>
          </cell>
          <cell r="F976" t="str">
            <v>남</v>
          </cell>
          <cell r="G976">
            <v>60</v>
          </cell>
          <cell r="H976" t="str">
            <v>-</v>
          </cell>
          <cell r="J976" t="str">
            <v>타설</v>
          </cell>
          <cell r="K976" t="str">
            <v>정운수</v>
          </cell>
          <cell r="L976" t="str">
            <v>616701-01-463206</v>
          </cell>
          <cell r="M976" t="str">
            <v>국민은행</v>
          </cell>
          <cell r="N976" t="str">
            <v>김종팔</v>
          </cell>
          <cell r="O976">
            <v>43728</v>
          </cell>
          <cell r="Q976" t="str">
            <v/>
          </cell>
          <cell r="S976">
            <v>45833</v>
          </cell>
          <cell r="T976">
            <v>45833</v>
          </cell>
          <cell r="V976" t="str">
            <v>콘크리트공</v>
          </cell>
        </row>
        <row r="977">
          <cell r="A977" t="str">
            <v>정운수</v>
          </cell>
          <cell r="B977" t="str">
            <v>경기도 시흥시 장현순환로156,1010-2404</v>
          </cell>
          <cell r="C977" t="str">
            <v>661104-1621813</v>
          </cell>
          <cell r="D977" t="str">
            <v>010-8634-9674</v>
          </cell>
          <cell r="E977">
            <v>260000</v>
          </cell>
          <cell r="F977" t="str">
            <v>남</v>
          </cell>
          <cell r="G977">
            <v>61</v>
          </cell>
          <cell r="H977" t="str">
            <v>-</v>
          </cell>
          <cell r="J977" t="str">
            <v>타설</v>
          </cell>
          <cell r="K977" t="str">
            <v>정운수</v>
          </cell>
          <cell r="L977" t="str">
            <v>356-0606-6765-83</v>
          </cell>
          <cell r="M977" t="str">
            <v>농협은행</v>
          </cell>
          <cell r="N977" t="str">
            <v>정운수</v>
          </cell>
          <cell r="O977">
            <v>40100</v>
          </cell>
          <cell r="S977">
            <v>45891</v>
          </cell>
          <cell r="T977">
            <v>45891</v>
          </cell>
          <cell r="V977" t="str">
            <v>콘크리트공</v>
          </cell>
        </row>
        <row r="978">
          <cell r="A978" t="str">
            <v>전정준</v>
          </cell>
          <cell r="B978" t="str">
            <v>서울시 구로구 구로동로5길23-25,옥탑</v>
          </cell>
          <cell r="C978" t="str">
            <v>771115-5760022</v>
          </cell>
          <cell r="D978" t="str">
            <v>010-6409-8861</v>
          </cell>
          <cell r="E978">
            <v>260000</v>
          </cell>
          <cell r="F978" t="str">
            <v>남</v>
          </cell>
          <cell r="G978">
            <v>50</v>
          </cell>
          <cell r="H978" t="str">
            <v>외국인</v>
          </cell>
          <cell r="I978" t="str">
            <v>TIAN ZHENGJUN</v>
          </cell>
          <cell r="J978" t="str">
            <v>타설</v>
          </cell>
          <cell r="K978" t="str">
            <v>정운수</v>
          </cell>
          <cell r="L978" t="str">
            <v>159-910484-06907</v>
          </cell>
          <cell r="M978" t="str">
            <v>하나은행</v>
          </cell>
          <cell r="N978" t="str">
            <v>TIAN ZHENGJUN</v>
          </cell>
          <cell r="O978">
            <v>42957</v>
          </cell>
          <cell r="P978" t="str">
            <v>영주F5</v>
          </cell>
          <cell r="Q978">
            <v>49196</v>
          </cell>
          <cell r="S978">
            <v>45891</v>
          </cell>
          <cell r="T978">
            <v>45891</v>
          </cell>
          <cell r="U978" t="str">
            <v>EJ4802344</v>
          </cell>
          <cell r="V978" t="str">
            <v>콘크리트공</v>
          </cell>
          <cell r="W978" t="str">
            <v>중국</v>
          </cell>
        </row>
        <row r="979">
          <cell r="A979" t="str">
            <v>김병호</v>
          </cell>
          <cell r="B979" t="str">
            <v>서울시 구로구 우마길7-10,104</v>
          </cell>
          <cell r="C979" t="str">
            <v>700316-5860174</v>
          </cell>
          <cell r="D979" t="str">
            <v>010-4178-5777</v>
          </cell>
          <cell r="E979">
            <v>260000</v>
          </cell>
          <cell r="F979" t="str">
            <v>남</v>
          </cell>
          <cell r="G979">
            <v>57</v>
          </cell>
          <cell r="H979" t="str">
            <v>외국인</v>
          </cell>
          <cell r="I979" t="str">
            <v>JIN BINGHAO</v>
          </cell>
          <cell r="J979" t="str">
            <v>타설</v>
          </cell>
          <cell r="K979" t="str">
            <v>정운수</v>
          </cell>
          <cell r="L979" t="str">
            <v>9002-1832-5251-5</v>
          </cell>
          <cell r="M979" t="str">
            <v>새마을금고중앙회</v>
          </cell>
          <cell r="N979" t="str">
            <v>JIN BINGHAO</v>
          </cell>
          <cell r="O979">
            <v>42524</v>
          </cell>
          <cell r="P979" t="str">
            <v>영주F5</v>
          </cell>
          <cell r="Q979">
            <v>46299</v>
          </cell>
          <cell r="S979">
            <v>45891</v>
          </cell>
          <cell r="T979">
            <v>45891</v>
          </cell>
          <cell r="U979" t="str">
            <v>EK1453762</v>
          </cell>
          <cell r="V979" t="str">
            <v>콘크리트공</v>
          </cell>
          <cell r="W979" t="str">
            <v>중국</v>
          </cell>
        </row>
        <row r="980">
          <cell r="A980" t="str">
            <v>박금복</v>
          </cell>
          <cell r="B980" t="str">
            <v>서울시 영등포구 디지털로37가길1-2,1층</v>
          </cell>
          <cell r="C980" t="str">
            <v>720416-5100029</v>
          </cell>
          <cell r="D980" t="str">
            <v>010-8232-6188</v>
          </cell>
          <cell r="E980">
            <v>260000</v>
          </cell>
          <cell r="F980" t="str">
            <v>남</v>
          </cell>
          <cell r="G980">
            <v>55</v>
          </cell>
          <cell r="H980" t="str">
            <v>외국인</v>
          </cell>
          <cell r="I980" t="str">
            <v>PIAO JINFU</v>
          </cell>
          <cell r="J980" t="str">
            <v>타설</v>
          </cell>
          <cell r="K980" t="str">
            <v>정운수</v>
          </cell>
          <cell r="L980" t="str">
            <v>358-910052-33707</v>
          </cell>
          <cell r="M980" t="str">
            <v>하나은행</v>
          </cell>
          <cell r="N980" t="str">
            <v>PIAO JINFU</v>
          </cell>
          <cell r="O980">
            <v>41557</v>
          </cell>
          <cell r="P980" t="str">
            <v>재외동포F4</v>
          </cell>
          <cell r="Q980">
            <v>46134</v>
          </cell>
          <cell r="S980">
            <v>45891</v>
          </cell>
          <cell r="T980">
            <v>45891</v>
          </cell>
          <cell r="U980" t="str">
            <v>ED1045977</v>
          </cell>
          <cell r="V980" t="str">
            <v>콘크리트공</v>
          </cell>
          <cell r="W980" t="str">
            <v>중국</v>
          </cell>
        </row>
        <row r="981">
          <cell r="A981" t="str">
            <v>서동국</v>
          </cell>
          <cell r="B981" t="str">
            <v>서울시 금천구 시흥대로145길54,204호</v>
          </cell>
          <cell r="C981" t="str">
            <v>690211-5920018</v>
          </cell>
          <cell r="D981" t="str">
            <v>010-3022-4123</v>
          </cell>
          <cell r="E981">
            <v>260000</v>
          </cell>
          <cell r="F981" t="str">
            <v>남</v>
          </cell>
          <cell r="G981">
            <v>58</v>
          </cell>
          <cell r="H981" t="str">
            <v>외국인</v>
          </cell>
          <cell r="I981" t="str">
            <v>XU DONGGUO</v>
          </cell>
          <cell r="J981" t="str">
            <v>타설</v>
          </cell>
          <cell r="K981" t="str">
            <v>정운수</v>
          </cell>
          <cell r="L981" t="str">
            <v>355-910607-48107</v>
          </cell>
          <cell r="M981" t="str">
            <v>하나은행</v>
          </cell>
          <cell r="N981" t="str">
            <v>서동국</v>
          </cell>
          <cell r="O981">
            <v>41751</v>
          </cell>
          <cell r="P981" t="str">
            <v>재외동포F4</v>
          </cell>
          <cell r="Q981">
            <v>46268</v>
          </cell>
          <cell r="S981">
            <v>45891</v>
          </cell>
          <cell r="T981">
            <v>45891</v>
          </cell>
          <cell r="U981" t="str">
            <v>EJ5741000</v>
          </cell>
          <cell r="V981" t="str">
            <v>콘크리트공</v>
          </cell>
          <cell r="W981" t="str">
            <v>중국</v>
          </cell>
        </row>
        <row r="982">
          <cell r="A982" t="str">
            <v>김용범</v>
          </cell>
          <cell r="B982" t="str">
            <v>서울시 금천구 문성로7길23,201호</v>
          </cell>
          <cell r="C982" t="str">
            <v>630603-5140276</v>
          </cell>
          <cell r="D982" t="str">
            <v>010-8305-0411</v>
          </cell>
          <cell r="E982">
            <v>260000</v>
          </cell>
          <cell r="F982" t="str">
            <v>남</v>
          </cell>
          <cell r="G982">
            <v>64</v>
          </cell>
          <cell r="H982" t="str">
            <v>외국인</v>
          </cell>
          <cell r="I982" t="str">
            <v>JIN LONGFAN</v>
          </cell>
          <cell r="J982" t="str">
            <v>타설</v>
          </cell>
          <cell r="K982" t="str">
            <v>정운수</v>
          </cell>
          <cell r="L982" t="str">
            <v>352-1531-3061-33</v>
          </cell>
          <cell r="M982" t="str">
            <v>농협은행</v>
          </cell>
          <cell r="N982" t="str">
            <v>JIN LONGFAN</v>
          </cell>
          <cell r="O982">
            <v>41756</v>
          </cell>
          <cell r="P982" t="str">
            <v>영주F5</v>
          </cell>
          <cell r="Q982">
            <v>48833</v>
          </cell>
          <cell r="S982">
            <v>45891</v>
          </cell>
          <cell r="T982">
            <v>45891</v>
          </cell>
          <cell r="U982" t="str">
            <v>E99823708</v>
          </cell>
          <cell r="V982" t="str">
            <v>콘크리트공</v>
          </cell>
          <cell r="W982" t="str">
            <v>중국</v>
          </cell>
        </row>
        <row r="983">
          <cell r="A983" t="str">
            <v>최영남</v>
          </cell>
          <cell r="B983" t="str">
            <v>서울시 구로구 구로중앙로12길23-20,옥탑</v>
          </cell>
          <cell r="C983" t="str">
            <v>720721-5920038</v>
          </cell>
          <cell r="D983" t="str">
            <v>010-5557-5337</v>
          </cell>
          <cell r="E983">
            <v>260000</v>
          </cell>
          <cell r="F983" t="str">
            <v>남</v>
          </cell>
          <cell r="G983">
            <v>55</v>
          </cell>
          <cell r="H983" t="str">
            <v>외국인</v>
          </cell>
          <cell r="I983" t="str">
            <v>CUI YONGNAN</v>
          </cell>
          <cell r="J983" t="str">
            <v>타설</v>
          </cell>
          <cell r="K983" t="str">
            <v>정운수</v>
          </cell>
          <cell r="L983" t="str">
            <v>010-6386-5816</v>
          </cell>
          <cell r="M983" t="str">
            <v>기업은행</v>
          </cell>
          <cell r="N983" t="str">
            <v>CUI YONGNAN</v>
          </cell>
          <cell r="O983">
            <v>42467</v>
          </cell>
          <cell r="P983" t="str">
            <v>영주F5</v>
          </cell>
          <cell r="Q983">
            <v>47856</v>
          </cell>
          <cell r="S983">
            <v>45891</v>
          </cell>
          <cell r="T983">
            <v>45891</v>
          </cell>
          <cell r="U983" t="str">
            <v>EJ7492476</v>
          </cell>
          <cell r="V983" t="str">
            <v>콘크리트공</v>
          </cell>
          <cell r="W983" t="str">
            <v>중국</v>
          </cell>
        </row>
        <row r="984">
          <cell r="A984" t="str">
            <v>김덕준</v>
          </cell>
          <cell r="B984" t="str">
            <v>서울시 구로구 구로동로5길39-6,B01</v>
          </cell>
          <cell r="C984" t="str">
            <v>781107-5820195</v>
          </cell>
          <cell r="D984" t="str">
            <v>010-8094-9864</v>
          </cell>
          <cell r="E984">
            <v>260000</v>
          </cell>
          <cell r="F984" t="str">
            <v>남</v>
          </cell>
          <cell r="G984">
            <v>49</v>
          </cell>
          <cell r="H984" t="str">
            <v>외국인</v>
          </cell>
          <cell r="I984" t="str">
            <v>JIN DEJUN</v>
          </cell>
          <cell r="J984" t="str">
            <v>타설</v>
          </cell>
          <cell r="K984" t="str">
            <v>정운수</v>
          </cell>
          <cell r="L984" t="str">
            <v>302-0415-4484-91</v>
          </cell>
          <cell r="M984" t="str">
            <v>농협은행</v>
          </cell>
          <cell r="N984" t="str">
            <v>JIN DEJUN</v>
          </cell>
          <cell r="O984">
            <v>45533</v>
          </cell>
          <cell r="P984" t="str">
            <v>재외동포F4</v>
          </cell>
          <cell r="Q984">
            <v>46605</v>
          </cell>
          <cell r="S984">
            <v>45898</v>
          </cell>
          <cell r="T984">
            <v>45898</v>
          </cell>
          <cell r="U984" t="str">
            <v>EA5003269</v>
          </cell>
          <cell r="V984" t="str">
            <v>콘크리트공</v>
          </cell>
          <cell r="W984" t="str">
            <v>중국</v>
          </cell>
        </row>
        <row r="985">
          <cell r="A985" t="str">
            <v>김용훈</v>
          </cell>
          <cell r="B985" t="str">
            <v>하남시 미사강변서로167,1708-606</v>
          </cell>
          <cell r="C985" t="str">
            <v>900216-5760041</v>
          </cell>
          <cell r="D985" t="str">
            <v>010-8435-0121</v>
          </cell>
          <cell r="E985">
            <v>260000</v>
          </cell>
          <cell r="F985" t="str">
            <v>남</v>
          </cell>
          <cell r="G985">
            <v>37</v>
          </cell>
          <cell r="H985" t="str">
            <v>외국인</v>
          </cell>
          <cell r="I985" t="str">
            <v>JIN YONGXUN</v>
          </cell>
          <cell r="J985" t="str">
            <v>타설</v>
          </cell>
          <cell r="K985" t="str">
            <v>정운수</v>
          </cell>
          <cell r="L985" t="str">
            <v>166-108400-01-011</v>
          </cell>
          <cell r="M985" t="str">
            <v>기업은행</v>
          </cell>
          <cell r="N985" t="str">
            <v>JIN YONGXUN</v>
          </cell>
          <cell r="O985">
            <v>43496</v>
          </cell>
          <cell r="P985" t="str">
            <v>영주F5</v>
          </cell>
          <cell r="Q985">
            <v>47069</v>
          </cell>
          <cell r="S985">
            <v>45898</v>
          </cell>
          <cell r="T985">
            <v>45898</v>
          </cell>
          <cell r="U985" t="str">
            <v>EJ4250704</v>
          </cell>
          <cell r="V985" t="str">
            <v>콘크리트공</v>
          </cell>
          <cell r="W985" t="str">
            <v>중국</v>
          </cell>
        </row>
        <row r="986">
          <cell r="A986" t="str">
            <v>김상호</v>
          </cell>
          <cell r="B986" t="str">
            <v>서울시 구로구 구로동로7나길20-5,101호</v>
          </cell>
          <cell r="C986" t="str">
            <v>700113-5480013</v>
          </cell>
          <cell r="D986" t="str">
            <v>010-2319-9993</v>
          </cell>
          <cell r="E986">
            <v>260000</v>
          </cell>
          <cell r="F986" t="str">
            <v>남</v>
          </cell>
          <cell r="G986">
            <v>57</v>
          </cell>
          <cell r="H986" t="str">
            <v>외국인</v>
          </cell>
          <cell r="I986" t="str">
            <v>JIN SHANGHU</v>
          </cell>
          <cell r="J986" t="str">
            <v>타설</v>
          </cell>
          <cell r="K986" t="str">
            <v>정운수</v>
          </cell>
          <cell r="L986" t="str">
            <v>1002-450-398330</v>
          </cell>
          <cell r="M986" t="str">
            <v>우리은행</v>
          </cell>
          <cell r="N986" t="str">
            <v>JIN SHANGHU</v>
          </cell>
          <cell r="O986">
            <v>42061</v>
          </cell>
          <cell r="P986" t="str">
            <v>방문취업H2</v>
          </cell>
          <cell r="Q986">
            <v>46663</v>
          </cell>
          <cell r="S986">
            <v>45903</v>
          </cell>
          <cell r="T986">
            <v>45903</v>
          </cell>
          <cell r="U986" t="str">
            <v>EJ0740394</v>
          </cell>
          <cell r="V986" t="str">
            <v>콘크리트공</v>
          </cell>
          <cell r="W986" t="str">
            <v>중국</v>
          </cell>
        </row>
        <row r="987">
          <cell r="A987" t="str">
            <v>김해일</v>
          </cell>
          <cell r="B987" t="str">
            <v>서울시 구로구 도림로32-42,301</v>
          </cell>
          <cell r="C987" t="str">
            <v>921223-5920137</v>
          </cell>
          <cell r="D987" t="str">
            <v>010-4297-7768</v>
          </cell>
          <cell r="E987">
            <v>260000</v>
          </cell>
          <cell r="F987" t="str">
            <v>남</v>
          </cell>
          <cell r="G987">
            <v>35</v>
          </cell>
          <cell r="H987" t="str">
            <v>외국인</v>
          </cell>
          <cell r="I987" t="str">
            <v>JIN HAIRI</v>
          </cell>
          <cell r="J987" t="str">
            <v>타설</v>
          </cell>
          <cell r="K987" t="str">
            <v>정운수</v>
          </cell>
          <cell r="L987" t="str">
            <v>213-910373-87807</v>
          </cell>
          <cell r="M987" t="str">
            <v>하나은행</v>
          </cell>
          <cell r="N987" t="str">
            <v>JIN HAIRI</v>
          </cell>
          <cell r="O987">
            <v>45369</v>
          </cell>
          <cell r="P987" t="str">
            <v>방문취업H2</v>
          </cell>
          <cell r="Q987">
            <v>46264</v>
          </cell>
          <cell r="S987">
            <v>45903</v>
          </cell>
          <cell r="T987">
            <v>45903</v>
          </cell>
          <cell r="U987" t="str">
            <v>E85640130</v>
          </cell>
          <cell r="V987" t="str">
            <v>콘크리트공</v>
          </cell>
          <cell r="W987" t="str">
            <v>중국</v>
          </cell>
        </row>
        <row r="988">
          <cell r="A988" t="str">
            <v>박명성</v>
          </cell>
          <cell r="B988" t="str">
            <v>서울시 구로구 구로중앙로9길19-9,102</v>
          </cell>
          <cell r="C988" t="str">
            <v>630907-1149521</v>
          </cell>
          <cell r="D988" t="str">
            <v>010-9419-8368</v>
          </cell>
          <cell r="E988">
            <v>260000</v>
          </cell>
          <cell r="F988" t="str">
            <v>남</v>
          </cell>
          <cell r="G988">
            <v>64</v>
          </cell>
          <cell r="H988" t="str">
            <v>-</v>
          </cell>
          <cell r="J988" t="str">
            <v>타설</v>
          </cell>
          <cell r="K988" t="str">
            <v>정운수</v>
          </cell>
          <cell r="L988" t="str">
            <v>653601-01-206930</v>
          </cell>
          <cell r="M988" t="str">
            <v>국민은행</v>
          </cell>
          <cell r="N988" t="str">
            <v>박명성</v>
          </cell>
          <cell r="O988">
            <v>42342</v>
          </cell>
          <cell r="Q988" t="str">
            <v/>
          </cell>
          <cell r="S988">
            <v>45903</v>
          </cell>
          <cell r="T988">
            <v>45903</v>
          </cell>
          <cell r="V988" t="str">
            <v>콘크리트공</v>
          </cell>
        </row>
        <row r="989">
          <cell r="A989" t="str">
            <v>장위칭</v>
          </cell>
          <cell r="B989" t="str">
            <v>서울시 구로구 구로중앙로9길19-9,102</v>
          </cell>
          <cell r="C989" t="str">
            <v>690212-6920041</v>
          </cell>
          <cell r="D989" t="str">
            <v>010-9589-6668</v>
          </cell>
          <cell r="E989">
            <v>260000</v>
          </cell>
          <cell r="F989" t="str">
            <v>여</v>
          </cell>
          <cell r="G989">
            <v>58</v>
          </cell>
          <cell r="H989" t="str">
            <v>외국인</v>
          </cell>
          <cell r="I989" t="str">
            <v>ZHANG YUEQING</v>
          </cell>
          <cell r="J989" t="str">
            <v>타설</v>
          </cell>
          <cell r="K989" t="str">
            <v>정운수</v>
          </cell>
          <cell r="L989" t="str">
            <v>213-910416-75507</v>
          </cell>
          <cell r="M989" t="str">
            <v>하나은행</v>
          </cell>
          <cell r="N989" t="str">
            <v>ZHANG YUEQING</v>
          </cell>
          <cell r="O989">
            <v>45895</v>
          </cell>
          <cell r="P989" t="str">
            <v>결혼이민F6</v>
          </cell>
          <cell r="Q989">
            <v>46792</v>
          </cell>
          <cell r="S989">
            <v>45903</v>
          </cell>
          <cell r="T989">
            <v>45903</v>
          </cell>
          <cell r="U989" t="str">
            <v>EJ0727644</v>
          </cell>
          <cell r="V989" t="str">
            <v>콘크리트공</v>
          </cell>
          <cell r="W989" t="str">
            <v>중국</v>
          </cell>
        </row>
        <row r="990">
          <cell r="A990" t="str">
            <v>김효구</v>
          </cell>
          <cell r="B990" t="str">
            <v>서울시 동대문구 이문로54길16,201-1210</v>
          </cell>
          <cell r="C990" t="str">
            <v>620707-1025511</v>
          </cell>
          <cell r="D990" t="str">
            <v>010-8945-3250</v>
          </cell>
          <cell r="E990">
            <v>260000</v>
          </cell>
          <cell r="F990" t="str">
            <v>남</v>
          </cell>
          <cell r="G990">
            <v>65</v>
          </cell>
          <cell r="H990" t="str">
            <v>-</v>
          </cell>
          <cell r="J990" t="str">
            <v>타설</v>
          </cell>
          <cell r="K990" t="str">
            <v>정운수</v>
          </cell>
          <cell r="L990" t="str">
            <v>1010-2735-4600</v>
          </cell>
          <cell r="M990" t="str">
            <v>수협은행</v>
          </cell>
          <cell r="N990" t="str">
            <v>(주)우민이엔지</v>
          </cell>
          <cell r="O990">
            <v>41234</v>
          </cell>
          <cell r="Q990" t="str">
            <v/>
          </cell>
          <cell r="S990">
            <v>45903</v>
          </cell>
          <cell r="T990">
            <v>45903</v>
          </cell>
          <cell r="V990" t="str">
            <v>콘크리트공</v>
          </cell>
        </row>
        <row r="991">
          <cell r="A991" t="str">
            <v>이우평</v>
          </cell>
          <cell r="B991" t="str">
            <v>서울시 구로구 구로동로17길65,102호</v>
          </cell>
          <cell r="C991" t="str">
            <v>811003-5920020</v>
          </cell>
          <cell r="D991" t="str">
            <v>010-7603-0432</v>
          </cell>
          <cell r="E991">
            <v>260000</v>
          </cell>
          <cell r="F991" t="str">
            <v>남</v>
          </cell>
          <cell r="G991">
            <v>46</v>
          </cell>
          <cell r="H991" t="str">
            <v>외국인</v>
          </cell>
          <cell r="I991" t="str">
            <v>LI YUPING</v>
          </cell>
          <cell r="J991" t="str">
            <v>타설</v>
          </cell>
          <cell r="K991" t="str">
            <v>정운수</v>
          </cell>
          <cell r="L991" t="str">
            <v>801701-04-251893</v>
          </cell>
          <cell r="M991" t="str">
            <v>국민은행</v>
          </cell>
          <cell r="N991" t="str">
            <v>LI YUPING</v>
          </cell>
          <cell r="O991">
            <v>44031</v>
          </cell>
          <cell r="P991" t="str">
            <v>영주F5</v>
          </cell>
          <cell r="Q991">
            <v>48744</v>
          </cell>
          <cell r="S991">
            <v>45905</v>
          </cell>
          <cell r="T991">
            <v>45905</v>
          </cell>
          <cell r="V991" t="str">
            <v>콘크리트공</v>
          </cell>
          <cell r="W991" t="str">
            <v>중국</v>
          </cell>
        </row>
        <row r="992">
          <cell r="A992" t="str">
            <v>지용철</v>
          </cell>
          <cell r="B992" t="str">
            <v>서울시 구로구 구로동로40가길11-5</v>
          </cell>
          <cell r="C992" t="str">
            <v>720826-5820024</v>
          </cell>
          <cell r="D992" t="str">
            <v>010-5737-7384</v>
          </cell>
          <cell r="E992">
            <v>260000</v>
          </cell>
          <cell r="F992" t="str">
            <v>남</v>
          </cell>
          <cell r="G992">
            <v>55</v>
          </cell>
          <cell r="H992" t="str">
            <v>외국인</v>
          </cell>
          <cell r="I992" t="str">
            <v>CHI LONGZHE</v>
          </cell>
          <cell r="J992" t="str">
            <v>타설</v>
          </cell>
          <cell r="K992" t="str">
            <v>정운수</v>
          </cell>
          <cell r="L992" t="str">
            <v>1002-655-974660</v>
          </cell>
          <cell r="M992" t="str">
            <v>우리은행</v>
          </cell>
          <cell r="N992" t="str">
            <v>CHI LONGZHE</v>
          </cell>
          <cell r="O992">
            <v>43108</v>
          </cell>
          <cell r="P992" t="str">
            <v>방문취업H2</v>
          </cell>
          <cell r="Q992">
            <v>46117</v>
          </cell>
          <cell r="S992">
            <v>45905</v>
          </cell>
          <cell r="T992">
            <v>45905</v>
          </cell>
          <cell r="V992" t="str">
            <v>콘크리트공</v>
          </cell>
          <cell r="W992" t="str">
            <v>중국</v>
          </cell>
        </row>
        <row r="993">
          <cell r="A993" t="str">
            <v>한영수</v>
          </cell>
          <cell r="B993" t="str">
            <v>서울시 구로구 구로동로7나길16-3,202호</v>
          </cell>
          <cell r="C993" t="str">
            <v>730520-5143193</v>
          </cell>
          <cell r="D993" t="str">
            <v>010-8019-5550</v>
          </cell>
          <cell r="E993">
            <v>260000</v>
          </cell>
          <cell r="F993" t="str">
            <v>남</v>
          </cell>
          <cell r="G993">
            <v>54</v>
          </cell>
          <cell r="H993" t="str">
            <v>외국인</v>
          </cell>
          <cell r="I993" t="str">
            <v>HAN YONGZHU</v>
          </cell>
          <cell r="J993" t="str">
            <v>타설</v>
          </cell>
          <cell r="K993" t="str">
            <v>정운수</v>
          </cell>
          <cell r="L993" t="str">
            <v>110-452-500997</v>
          </cell>
          <cell r="M993" t="str">
            <v>신한은행</v>
          </cell>
          <cell r="N993" t="str">
            <v>HAN YONGZHU</v>
          </cell>
          <cell r="O993">
            <v>44817</v>
          </cell>
          <cell r="P993" t="str">
            <v>방문취업H2</v>
          </cell>
          <cell r="Q993">
            <v>46664</v>
          </cell>
          <cell r="S993">
            <v>45905</v>
          </cell>
          <cell r="T993">
            <v>45905</v>
          </cell>
          <cell r="V993" t="str">
            <v>콘크리트공</v>
          </cell>
          <cell r="W993" t="str">
            <v>중국</v>
          </cell>
        </row>
        <row r="994">
          <cell r="A994" t="str">
            <v>이용권</v>
          </cell>
          <cell r="B994" t="str">
            <v>서울시 구로구 구로동로9길6,102호</v>
          </cell>
          <cell r="C994" t="str">
            <v>920726-5920118</v>
          </cell>
          <cell r="D994" t="str">
            <v>010-5512-8885</v>
          </cell>
          <cell r="E994">
            <v>260000</v>
          </cell>
          <cell r="F994" t="str">
            <v>남</v>
          </cell>
          <cell r="G994">
            <v>35</v>
          </cell>
          <cell r="H994" t="str">
            <v>외국인</v>
          </cell>
          <cell r="I994" t="str">
            <v>LI LONGQUAN</v>
          </cell>
          <cell r="J994" t="str">
            <v>타설</v>
          </cell>
          <cell r="K994" t="str">
            <v>정운수</v>
          </cell>
          <cell r="L994" t="str">
            <v>213-910322-47207</v>
          </cell>
          <cell r="M994" t="str">
            <v>하나은행</v>
          </cell>
          <cell r="N994" t="str">
            <v>LI LONGQUAN</v>
          </cell>
          <cell r="O994">
            <v>44661</v>
          </cell>
          <cell r="P994" t="str">
            <v>방문취업H2</v>
          </cell>
          <cell r="Q994">
            <v>46665</v>
          </cell>
          <cell r="S994">
            <v>45905</v>
          </cell>
          <cell r="T994">
            <v>45905</v>
          </cell>
          <cell r="V994" t="str">
            <v>콘크리트공</v>
          </cell>
          <cell r="W994" t="str">
            <v>중국</v>
          </cell>
        </row>
        <row r="995">
          <cell r="A995" t="str">
            <v>문명성</v>
          </cell>
          <cell r="B995" t="str">
            <v>서울시 구로구 고척로25길64,202</v>
          </cell>
          <cell r="C995" t="str">
            <v>860406-5920043</v>
          </cell>
          <cell r="D995" t="str">
            <v>010-8116-1864</v>
          </cell>
          <cell r="E995">
            <v>260000</v>
          </cell>
          <cell r="F995" t="str">
            <v>남</v>
          </cell>
          <cell r="G995">
            <v>41</v>
          </cell>
          <cell r="H995" t="str">
            <v>외국인</v>
          </cell>
          <cell r="I995" t="str">
            <v>WEN MINGCHENG</v>
          </cell>
          <cell r="J995" t="str">
            <v>타설</v>
          </cell>
          <cell r="K995" t="str">
            <v>정운수</v>
          </cell>
          <cell r="L995" t="str">
            <v>356-1249-3824-23</v>
          </cell>
          <cell r="M995" t="str">
            <v>농협은행</v>
          </cell>
          <cell r="N995" t="str">
            <v>WEN MINGCHENG</v>
          </cell>
          <cell r="O995">
            <v>42948</v>
          </cell>
          <cell r="P995" t="str">
            <v>재외동포F4</v>
          </cell>
          <cell r="Q995">
            <v>46427</v>
          </cell>
          <cell r="S995">
            <v>45905</v>
          </cell>
          <cell r="T995">
            <v>45905</v>
          </cell>
          <cell r="V995" t="str">
            <v>콘크리트공</v>
          </cell>
          <cell r="W995" t="str">
            <v>중국</v>
          </cell>
        </row>
        <row r="996">
          <cell r="A996" t="str">
            <v>김수인</v>
          </cell>
          <cell r="B996" t="str">
            <v>서울시 영등포구 디지털로54길5-9,202호</v>
          </cell>
          <cell r="C996" t="str">
            <v>910806-5760067</v>
          </cell>
          <cell r="D996" t="str">
            <v>010-4838-5558</v>
          </cell>
          <cell r="E996">
            <v>260000</v>
          </cell>
          <cell r="F996" t="str">
            <v>남</v>
          </cell>
          <cell r="G996">
            <v>36</v>
          </cell>
          <cell r="H996" t="str">
            <v>외국인</v>
          </cell>
          <cell r="I996" t="str">
            <v>JIN SHOUREN</v>
          </cell>
          <cell r="J996" t="str">
            <v>타설</v>
          </cell>
          <cell r="K996" t="str">
            <v>정운수</v>
          </cell>
          <cell r="L996" t="str">
            <v>751-910424-17207</v>
          </cell>
          <cell r="M996" t="str">
            <v>하나은행</v>
          </cell>
          <cell r="N996" t="str">
            <v>JIN SHOUREN</v>
          </cell>
          <cell r="O996">
            <v>42183</v>
          </cell>
          <cell r="P996" t="str">
            <v>영주F5</v>
          </cell>
          <cell r="Q996">
            <v>49490</v>
          </cell>
          <cell r="S996">
            <v>45905</v>
          </cell>
          <cell r="T996">
            <v>45905</v>
          </cell>
          <cell r="V996" t="str">
            <v>콘크리트공</v>
          </cell>
          <cell r="W996" t="str">
            <v>중국</v>
          </cell>
        </row>
        <row r="997">
          <cell r="A997" t="str">
            <v>서빈</v>
          </cell>
          <cell r="B997" t="str">
            <v>서울시 영등포구 디지털로57길10,105</v>
          </cell>
          <cell r="C997" t="str">
            <v>870520-5100133</v>
          </cell>
          <cell r="D997" t="str">
            <v>010-9625-6850</v>
          </cell>
          <cell r="E997">
            <v>260000</v>
          </cell>
          <cell r="F997" t="str">
            <v>남</v>
          </cell>
          <cell r="G997">
            <v>40</v>
          </cell>
          <cell r="H997" t="str">
            <v>외국인</v>
          </cell>
          <cell r="I997" t="str">
            <v>XU BIN</v>
          </cell>
          <cell r="J997" t="str">
            <v>타설</v>
          </cell>
          <cell r="K997" t="str">
            <v>정운수</v>
          </cell>
          <cell r="L997" t="str">
            <v>1002-655-044978</v>
          </cell>
          <cell r="M997" t="str">
            <v>우리은행</v>
          </cell>
          <cell r="N997" t="str">
            <v>XU BIN</v>
          </cell>
          <cell r="O997">
            <v>44475</v>
          </cell>
          <cell r="P997" t="str">
            <v>방문취업H2</v>
          </cell>
          <cell r="Q997">
            <v>46680</v>
          </cell>
          <cell r="S997">
            <v>45905</v>
          </cell>
          <cell r="T997">
            <v>45905</v>
          </cell>
          <cell r="V997" t="str">
            <v>콘크리트공</v>
          </cell>
          <cell r="W997" t="str">
            <v>중국</v>
          </cell>
        </row>
        <row r="998">
          <cell r="A998" t="str">
            <v>김명철</v>
          </cell>
          <cell r="B998" t="str">
            <v>서울시 구로구 구로동로5길11,B01호</v>
          </cell>
          <cell r="C998" t="str">
            <v>800525-5820049</v>
          </cell>
          <cell r="D998" t="str">
            <v>010-2136-8666</v>
          </cell>
          <cell r="E998">
            <v>260000</v>
          </cell>
          <cell r="F998" t="str">
            <v>남</v>
          </cell>
          <cell r="G998">
            <v>47</v>
          </cell>
          <cell r="H998" t="str">
            <v>외국인</v>
          </cell>
          <cell r="I998" t="str">
            <v>JIN MINGZHE</v>
          </cell>
          <cell r="J998" t="str">
            <v>타설</v>
          </cell>
          <cell r="K998" t="str">
            <v>정운수</v>
          </cell>
          <cell r="L998" t="str">
            <v>1002-266-278691</v>
          </cell>
          <cell r="M998" t="str">
            <v>우리은행</v>
          </cell>
          <cell r="N998" t="str">
            <v>JIN MINGZHE</v>
          </cell>
          <cell r="O998">
            <v>45854</v>
          </cell>
          <cell r="P998" t="str">
            <v>재외동포F4</v>
          </cell>
          <cell r="Q998">
            <v>46334</v>
          </cell>
          <cell r="S998">
            <v>45905</v>
          </cell>
          <cell r="T998">
            <v>45905</v>
          </cell>
          <cell r="V998" t="str">
            <v>콘크리트공</v>
          </cell>
          <cell r="W998" t="str">
            <v>중국</v>
          </cell>
        </row>
        <row r="999">
          <cell r="A999" t="str">
            <v>마성남</v>
          </cell>
          <cell r="B999" t="str">
            <v>서울시 영등포구 디지털로47길12</v>
          </cell>
          <cell r="C999" t="str">
            <v>780403-5100048</v>
          </cell>
          <cell r="D999" t="str">
            <v>010-4407-0897</v>
          </cell>
          <cell r="E999">
            <v>260000</v>
          </cell>
          <cell r="F999" t="str">
            <v>남</v>
          </cell>
          <cell r="G999">
            <v>49</v>
          </cell>
          <cell r="H999" t="str">
            <v>외국인</v>
          </cell>
          <cell r="I999" t="str">
            <v>MA CHENGNAN</v>
          </cell>
          <cell r="J999" t="str">
            <v>타설</v>
          </cell>
          <cell r="K999" t="str">
            <v>정운수</v>
          </cell>
          <cell r="L999" t="str">
            <v>356-0787-9204-23</v>
          </cell>
          <cell r="M999" t="str">
            <v>농협은행</v>
          </cell>
          <cell r="N999" t="str">
            <v>MA CHENGNAN</v>
          </cell>
          <cell r="O999">
            <v>42803</v>
          </cell>
          <cell r="P999" t="str">
            <v>방문취업H2</v>
          </cell>
          <cell r="Q999">
            <v>46089</v>
          </cell>
          <cell r="S999">
            <v>45905</v>
          </cell>
          <cell r="T999">
            <v>45905</v>
          </cell>
          <cell r="V999" t="str">
            <v>콘크리트공</v>
          </cell>
          <cell r="W999" t="str">
            <v>중국</v>
          </cell>
        </row>
        <row r="1000">
          <cell r="A1000" t="str">
            <v>강영봉</v>
          </cell>
          <cell r="B1000" t="str">
            <v>서울시 금천구 독산로109길11,B동502호</v>
          </cell>
          <cell r="C1000" t="str">
            <v>701219-5760591</v>
          </cell>
          <cell r="D1000" t="str">
            <v>010-5634-6688</v>
          </cell>
          <cell r="E1000">
            <v>260000</v>
          </cell>
          <cell r="F1000" t="str">
            <v>남</v>
          </cell>
          <cell r="G1000">
            <v>57</v>
          </cell>
          <cell r="H1000" t="str">
            <v>외국인</v>
          </cell>
          <cell r="I1000" t="str">
            <v>KANG YONGFENG</v>
          </cell>
          <cell r="J1000" t="str">
            <v>타설</v>
          </cell>
          <cell r="K1000" t="str">
            <v>정운수</v>
          </cell>
          <cell r="L1000" t="str">
            <v>355-910301-45007</v>
          </cell>
          <cell r="M1000" t="str">
            <v>하나은행</v>
          </cell>
          <cell r="N1000" t="str">
            <v>KANG YONGFENG</v>
          </cell>
          <cell r="O1000">
            <v>41121</v>
          </cell>
          <cell r="P1000" t="str">
            <v>영주F5</v>
          </cell>
          <cell r="Q1000">
            <v>48703</v>
          </cell>
          <cell r="S1000">
            <v>45905</v>
          </cell>
          <cell r="T1000">
            <v>45905</v>
          </cell>
          <cell r="V1000" t="str">
            <v>콘크리트공</v>
          </cell>
          <cell r="W1000" t="str">
            <v>중국</v>
          </cell>
        </row>
        <row r="1001">
          <cell r="A1001" t="str">
            <v>김회석</v>
          </cell>
          <cell r="B1001" t="str">
            <v>부천시 계남로301번길65-6</v>
          </cell>
          <cell r="C1001" t="str">
            <v>760215-1659310</v>
          </cell>
          <cell r="D1001" t="str">
            <v>010-8003-8487</v>
          </cell>
          <cell r="E1001">
            <v>260000</v>
          </cell>
          <cell r="F1001" t="str">
            <v>남</v>
          </cell>
          <cell r="G1001">
            <v>51</v>
          </cell>
          <cell r="H1001" t="str">
            <v>-</v>
          </cell>
          <cell r="J1001" t="str">
            <v>타설</v>
          </cell>
          <cell r="K1001" t="str">
            <v>정운수</v>
          </cell>
          <cell r="L1001" t="str">
            <v>1010-2735-4600</v>
          </cell>
          <cell r="M1001" t="str">
            <v>수협은행</v>
          </cell>
          <cell r="N1001" t="str">
            <v>(주)우민이엔지</v>
          </cell>
          <cell r="O1001">
            <v>41555</v>
          </cell>
          <cell r="Q1001" t="str">
            <v/>
          </cell>
          <cell r="S1001">
            <v>45910</v>
          </cell>
          <cell r="T1001">
            <v>45910</v>
          </cell>
          <cell r="V1001" t="str">
            <v>콘크리트공</v>
          </cell>
        </row>
        <row r="1002">
          <cell r="A1002" t="str">
            <v>손성문</v>
          </cell>
          <cell r="B1002" t="str">
            <v>부천시 계남로242번길51-9</v>
          </cell>
          <cell r="C1002" t="str">
            <v>620801-5102990</v>
          </cell>
          <cell r="D1002" t="str">
            <v>010-8486-1066</v>
          </cell>
          <cell r="E1002">
            <v>260000</v>
          </cell>
          <cell r="F1002" t="str">
            <v>남</v>
          </cell>
          <cell r="G1002">
            <v>65</v>
          </cell>
          <cell r="H1002" t="str">
            <v>외국인</v>
          </cell>
          <cell r="I1002" t="str">
            <v>SUN CHENGWEN</v>
          </cell>
          <cell r="J1002" t="str">
            <v>타설</v>
          </cell>
          <cell r="K1002" t="str">
            <v>정운수</v>
          </cell>
          <cell r="L1002" t="str">
            <v>028002-04-083308</v>
          </cell>
          <cell r="M1002" t="str">
            <v>국민은행</v>
          </cell>
          <cell r="N1002" t="str">
            <v>SUN CHENGWEN</v>
          </cell>
          <cell r="O1002" t="str">
            <v>2013.08.13</v>
          </cell>
          <cell r="P1002" t="str">
            <v>영주F5</v>
          </cell>
          <cell r="Q1002" t="str">
            <v>2029.07.01</v>
          </cell>
          <cell r="S1002">
            <v>45910</v>
          </cell>
          <cell r="T1002">
            <v>45910</v>
          </cell>
          <cell r="V1002" t="str">
            <v>콘크리트공</v>
          </cell>
          <cell r="W1002" t="str">
            <v>중국</v>
          </cell>
        </row>
        <row r="1003">
          <cell r="A1003" t="str">
            <v>신방우</v>
          </cell>
          <cell r="B1003" t="str">
            <v>동해시 지리1길4</v>
          </cell>
          <cell r="C1003" t="str">
            <v>730702-1637917</v>
          </cell>
          <cell r="D1003" t="str">
            <v>010-8288-0853</v>
          </cell>
          <cell r="E1003">
            <v>260000</v>
          </cell>
          <cell r="F1003" t="str">
            <v>남</v>
          </cell>
          <cell r="G1003">
            <v>54</v>
          </cell>
          <cell r="H1003" t="str">
            <v>-</v>
          </cell>
          <cell r="J1003" t="str">
            <v>타설</v>
          </cell>
          <cell r="K1003" t="str">
            <v>정운수</v>
          </cell>
          <cell r="L1003" t="str">
            <v>7373-010146-1156</v>
          </cell>
          <cell r="M1003" t="str">
            <v>국민은행</v>
          </cell>
          <cell r="N1003" t="str">
            <v>신방우</v>
          </cell>
          <cell r="O1003">
            <v>41870</v>
          </cell>
          <cell r="Q1003" t="str">
            <v/>
          </cell>
          <cell r="S1003">
            <v>45910</v>
          </cell>
          <cell r="T1003">
            <v>45910</v>
          </cell>
          <cell r="V1003" t="str">
            <v>콘크리트공</v>
          </cell>
        </row>
        <row r="1004">
          <cell r="A1004" t="str">
            <v>김중호콘</v>
          </cell>
          <cell r="B1004" t="str">
            <v>부천시 역곡로456번길42,6동지층1호</v>
          </cell>
          <cell r="C1004" t="str">
            <v>620106-1063512</v>
          </cell>
          <cell r="D1004" t="str">
            <v>010-8994-9025</v>
          </cell>
          <cell r="E1004">
            <v>260000</v>
          </cell>
          <cell r="F1004" t="str">
            <v>남</v>
          </cell>
          <cell r="G1004">
            <v>65</v>
          </cell>
          <cell r="H1004" t="str">
            <v>-</v>
          </cell>
          <cell r="J1004" t="str">
            <v>타설</v>
          </cell>
          <cell r="K1004" t="str">
            <v>정운수</v>
          </cell>
          <cell r="L1004" t="str">
            <v>010-6469-9025</v>
          </cell>
          <cell r="M1004" t="str">
            <v>기업은행</v>
          </cell>
          <cell r="N1004" t="str">
            <v>김중호</v>
          </cell>
          <cell r="O1004">
            <v>41822</v>
          </cell>
          <cell r="Q1004" t="str">
            <v/>
          </cell>
          <cell r="S1004">
            <v>45910</v>
          </cell>
          <cell r="T1004">
            <v>45910</v>
          </cell>
          <cell r="V1004" t="str">
            <v>콘크리트공</v>
          </cell>
        </row>
        <row r="1005">
          <cell r="A1005" t="str">
            <v>김해만</v>
          </cell>
          <cell r="B1005" t="str">
            <v>서울시 구로구 구로동로7다길25-10</v>
          </cell>
          <cell r="C1005" t="str">
            <v>691127-5101790</v>
          </cell>
          <cell r="D1005" t="str">
            <v>010-2920-4064</v>
          </cell>
          <cell r="E1005">
            <v>260000</v>
          </cell>
          <cell r="F1005" t="str">
            <v>남</v>
          </cell>
          <cell r="G1005">
            <v>58</v>
          </cell>
          <cell r="H1005" t="str">
            <v>외국인</v>
          </cell>
          <cell r="I1005" t="str">
            <v>JIN HAIWAN</v>
          </cell>
          <cell r="J1005" t="str">
            <v>타설</v>
          </cell>
          <cell r="K1005" t="str">
            <v>정운수</v>
          </cell>
          <cell r="L1005" t="str">
            <v>1002-337-646626</v>
          </cell>
          <cell r="M1005" t="str">
            <v>우리은행</v>
          </cell>
          <cell r="N1005" t="str">
            <v>JIN HAIWAN</v>
          </cell>
          <cell r="O1005">
            <v>43626</v>
          </cell>
          <cell r="P1005" t="str">
            <v>영주F5</v>
          </cell>
          <cell r="Q1005">
            <v>47252</v>
          </cell>
          <cell r="S1005">
            <v>45912</v>
          </cell>
          <cell r="T1005">
            <v>45912</v>
          </cell>
          <cell r="V1005" t="str">
            <v>콘크리트공</v>
          </cell>
          <cell r="W1005" t="str">
            <v>중국</v>
          </cell>
        </row>
        <row r="1006">
          <cell r="A1006" t="str">
            <v>방보근</v>
          </cell>
          <cell r="B1006" t="str">
            <v>서울시 구로구 가마산로11길22-7,옥탑</v>
          </cell>
          <cell r="C1006" t="str">
            <v>790913-5920027</v>
          </cell>
          <cell r="D1006" t="str">
            <v>010-7535-0527</v>
          </cell>
          <cell r="E1006">
            <v>260000</v>
          </cell>
          <cell r="F1006" t="str">
            <v>남</v>
          </cell>
          <cell r="G1006">
            <v>48</v>
          </cell>
          <cell r="H1006" t="str">
            <v>외국인</v>
          </cell>
          <cell r="I1006" t="str">
            <v>FANG BAOGEN</v>
          </cell>
          <cell r="J1006" t="str">
            <v>타설</v>
          </cell>
          <cell r="K1006" t="str">
            <v>정운수</v>
          </cell>
          <cell r="L1006" t="str">
            <v>213-910325-98007</v>
          </cell>
          <cell r="M1006" t="str">
            <v>하나은행</v>
          </cell>
          <cell r="N1006" t="str">
            <v>FANG BAOGEN</v>
          </cell>
          <cell r="O1006">
            <v>44709</v>
          </cell>
          <cell r="P1006" t="str">
            <v>재외동포F4</v>
          </cell>
          <cell r="Q1006">
            <v>46392</v>
          </cell>
          <cell r="S1006">
            <v>45912</v>
          </cell>
          <cell r="T1006">
            <v>45912</v>
          </cell>
          <cell r="V1006" t="str">
            <v>콘크리트공</v>
          </cell>
          <cell r="W1006" t="str">
            <v>중국</v>
          </cell>
        </row>
        <row r="1007">
          <cell r="A1007" t="str">
            <v>한동섭</v>
          </cell>
          <cell r="B1007" t="str">
            <v>서울시 관악구 조원중앙로41-2</v>
          </cell>
          <cell r="C1007" t="str">
            <v>601021-5140035</v>
          </cell>
          <cell r="D1007" t="str">
            <v>010-8489-3609</v>
          </cell>
          <cell r="E1007">
            <v>260000</v>
          </cell>
          <cell r="F1007" t="str">
            <v>남</v>
          </cell>
          <cell r="G1007">
            <v>67</v>
          </cell>
          <cell r="H1007" t="str">
            <v>외국인</v>
          </cell>
          <cell r="I1007" t="str">
            <v>HAN DONGSHE</v>
          </cell>
          <cell r="J1007" t="str">
            <v>타설</v>
          </cell>
          <cell r="K1007" t="str">
            <v>정운수</v>
          </cell>
          <cell r="L1007" t="str">
            <v>466-910367-04107</v>
          </cell>
          <cell r="M1007" t="str">
            <v>하나은행</v>
          </cell>
          <cell r="N1007" t="str">
            <v>HAN DONGSHE</v>
          </cell>
          <cell r="O1007">
            <v>43515</v>
          </cell>
          <cell r="P1007" t="str">
            <v>재외동포F4</v>
          </cell>
          <cell r="Q1007">
            <v>46531</v>
          </cell>
          <cell r="S1007">
            <v>45923</v>
          </cell>
          <cell r="T1007">
            <v>45912</v>
          </cell>
          <cell r="V1007" t="str">
            <v>콘크리트공</v>
          </cell>
          <cell r="W1007" t="str">
            <v>중국</v>
          </cell>
        </row>
        <row r="1008">
          <cell r="A1008" t="str">
            <v>박상완</v>
          </cell>
          <cell r="B1008" t="str">
            <v>인천시 계양구 장제로1025번길29-5,1동204호</v>
          </cell>
          <cell r="C1008" t="str">
            <v>700120-1468710</v>
          </cell>
          <cell r="D1008" t="str">
            <v>010-2321-2882</v>
          </cell>
          <cell r="E1008">
            <v>260000</v>
          </cell>
          <cell r="F1008" t="str">
            <v>남</v>
          </cell>
          <cell r="G1008">
            <v>57</v>
          </cell>
          <cell r="H1008" t="str">
            <v>-</v>
          </cell>
          <cell r="J1008" t="str">
            <v>타설</v>
          </cell>
          <cell r="K1008" t="str">
            <v>정운수</v>
          </cell>
          <cell r="L1008" t="str">
            <v>645501-01-066122</v>
          </cell>
          <cell r="M1008" t="str">
            <v>국민은행</v>
          </cell>
          <cell r="N1008" t="str">
            <v>박상완</v>
          </cell>
          <cell r="O1008">
            <v>42635</v>
          </cell>
          <cell r="Q1008" t="str">
            <v/>
          </cell>
          <cell r="S1008">
            <v>45930</v>
          </cell>
          <cell r="T1008">
            <v>45930</v>
          </cell>
          <cell r="V1008" t="str">
            <v>콘크리트공</v>
          </cell>
        </row>
        <row r="1009">
          <cell r="A1009" t="str">
            <v>유해용</v>
          </cell>
          <cell r="B1009" t="str">
            <v>충남 천안시 서북구 직산읍 상은5길14, 가동 314호(일진아파트)</v>
          </cell>
          <cell r="C1009" t="str">
            <v>751117-5780021</v>
          </cell>
          <cell r="D1009" t="str">
            <v>010-5815-8628</v>
          </cell>
          <cell r="E1009">
            <v>260000</v>
          </cell>
          <cell r="F1009" t="str">
            <v>남</v>
          </cell>
          <cell r="G1009">
            <v>52</v>
          </cell>
          <cell r="H1009" t="str">
            <v>외국인</v>
          </cell>
          <cell r="I1009" t="str">
            <v>LIU HAILONG</v>
          </cell>
          <cell r="J1009" t="str">
            <v>타설</v>
          </cell>
          <cell r="K1009" t="str">
            <v>정운수</v>
          </cell>
          <cell r="L1009" t="str">
            <v>352-1302-1677-73</v>
          </cell>
          <cell r="M1009" t="str">
            <v>농협은행</v>
          </cell>
          <cell r="N1009" t="str">
            <v>LIU HAILONG</v>
          </cell>
          <cell r="O1009">
            <v>42684</v>
          </cell>
          <cell r="P1009" t="str">
            <v>재외동포F4</v>
          </cell>
          <cell r="Q1009">
            <v>46970</v>
          </cell>
          <cell r="R1009">
            <v>45946</v>
          </cell>
          <cell r="S1009">
            <v>45946</v>
          </cell>
          <cell r="T1009">
            <v>45946</v>
          </cell>
          <cell r="V1009" t="str">
            <v>콘크리트공</v>
          </cell>
          <cell r="W1009" t="str">
            <v>중국</v>
          </cell>
        </row>
        <row r="1010">
          <cell r="A1010" t="str">
            <v>정의열</v>
          </cell>
          <cell r="B1010" t="str">
            <v>충남 당진시 석문면 원광길 212-37 404호</v>
          </cell>
          <cell r="C1010" t="str">
            <v>640227-1331618</v>
          </cell>
          <cell r="D1010" t="str">
            <v>010-5946-1947</v>
          </cell>
          <cell r="E1010">
            <v>260000</v>
          </cell>
          <cell r="F1010" t="str">
            <v>남</v>
          </cell>
          <cell r="G1010">
            <v>63</v>
          </cell>
          <cell r="H1010" t="str">
            <v>-</v>
          </cell>
          <cell r="J1010" t="str">
            <v>비계</v>
          </cell>
          <cell r="K1010" t="str">
            <v>정운수</v>
          </cell>
          <cell r="L1010" t="str">
            <v>352-2310-9806-03</v>
          </cell>
          <cell r="M1010" t="str">
            <v>농협은행</v>
          </cell>
          <cell r="N1010" t="str">
            <v>정의열</v>
          </cell>
          <cell r="O1010">
            <v>41710</v>
          </cell>
          <cell r="Q1010" t="str">
            <v/>
          </cell>
          <cell r="S1010">
            <v>45947</v>
          </cell>
          <cell r="T1010">
            <v>45947</v>
          </cell>
        </row>
        <row r="1011">
          <cell r="A1011" t="str">
            <v>전태영비</v>
          </cell>
          <cell r="B1011" t="str">
            <v>경기도 구리시 안골로 85번길26 201호</v>
          </cell>
          <cell r="C1011" t="str">
            <v>750612-1538121</v>
          </cell>
          <cell r="D1011" t="str">
            <v>010-9909-7668</v>
          </cell>
          <cell r="E1011">
            <v>260000</v>
          </cell>
          <cell r="F1011" t="str">
            <v>남</v>
          </cell>
          <cell r="G1011">
            <v>52</v>
          </cell>
          <cell r="H1011" t="str">
            <v>-</v>
          </cell>
          <cell r="J1011" t="str">
            <v>비계</v>
          </cell>
          <cell r="K1011" t="str">
            <v>정운수</v>
          </cell>
          <cell r="L1011" t="str">
            <v>352-9909-7668-43</v>
          </cell>
          <cell r="M1011" t="str">
            <v>농협은행</v>
          </cell>
          <cell r="N1011" t="str">
            <v>전태영</v>
          </cell>
          <cell r="O1011">
            <v>41522</v>
          </cell>
          <cell r="Q1011" t="str">
            <v/>
          </cell>
          <cell r="S1011">
            <v>45947</v>
          </cell>
          <cell r="T1011">
            <v>45947</v>
          </cell>
        </row>
        <row r="1012">
          <cell r="A1012" t="str">
            <v>강일영</v>
          </cell>
          <cell r="B1012" t="str">
            <v>경기도 구리시 벌말로 226-6,603-1703</v>
          </cell>
          <cell r="C1012" t="str">
            <v>720823-1625819</v>
          </cell>
          <cell r="D1012" t="str">
            <v>010-9998-0496</v>
          </cell>
          <cell r="E1012">
            <v>260000</v>
          </cell>
          <cell r="F1012" t="str">
            <v>남</v>
          </cell>
          <cell r="G1012">
            <v>55</v>
          </cell>
          <cell r="H1012" t="str">
            <v>-</v>
          </cell>
          <cell r="J1012" t="str">
            <v>비계</v>
          </cell>
          <cell r="K1012" t="str">
            <v>정운수</v>
          </cell>
          <cell r="L1012" t="str">
            <v>659001-04-056220</v>
          </cell>
          <cell r="M1012" t="str">
            <v>국민은행</v>
          </cell>
          <cell r="N1012" t="str">
            <v>강일영</v>
          </cell>
          <cell r="O1012">
            <v>44708</v>
          </cell>
          <cell r="S1012">
            <v>45947</v>
          </cell>
          <cell r="T1012">
            <v>45947</v>
          </cell>
        </row>
        <row r="1013">
          <cell r="A1013" t="str">
            <v>장태호</v>
          </cell>
          <cell r="B1013" t="str">
            <v>경기도 구리시 건원대로 34번길 77 605동406호</v>
          </cell>
          <cell r="C1013" t="str">
            <v>770905-1523214</v>
          </cell>
          <cell r="D1013" t="str">
            <v>010-3119-5704</v>
          </cell>
          <cell r="E1013">
            <v>260000</v>
          </cell>
          <cell r="F1013" t="str">
            <v>남</v>
          </cell>
          <cell r="G1013">
            <v>50</v>
          </cell>
          <cell r="H1013" t="str">
            <v>-</v>
          </cell>
          <cell r="J1013" t="str">
            <v>비계</v>
          </cell>
          <cell r="K1013" t="str">
            <v>정운수</v>
          </cell>
          <cell r="L1013" t="str">
            <v>1002-652-513897</v>
          </cell>
          <cell r="M1013" t="str">
            <v>우리은행</v>
          </cell>
          <cell r="N1013" t="str">
            <v>장태호</v>
          </cell>
          <cell r="O1013">
            <v>44161</v>
          </cell>
          <cell r="S1013">
            <v>45947</v>
          </cell>
          <cell r="T1013">
            <v>45947</v>
          </cell>
        </row>
        <row r="1014">
          <cell r="A1014" t="str">
            <v>권용길</v>
          </cell>
          <cell r="B1014" t="str">
            <v>서울 송파구 오금로 194,401호(방이동)</v>
          </cell>
          <cell r="C1014" t="str">
            <v>630719-1781310</v>
          </cell>
          <cell r="D1014" t="str">
            <v>010-2340-8201</v>
          </cell>
          <cell r="E1014">
            <v>260000</v>
          </cell>
          <cell r="F1014" t="str">
            <v>남</v>
          </cell>
          <cell r="G1014">
            <v>64</v>
          </cell>
          <cell r="H1014" t="str">
            <v>-</v>
          </cell>
          <cell r="J1014" t="str">
            <v>비계</v>
          </cell>
          <cell r="K1014" t="str">
            <v>정운수</v>
          </cell>
          <cell r="L1014" t="str">
            <v>013508-02-107561</v>
          </cell>
          <cell r="M1014" t="str">
            <v>우체국</v>
          </cell>
          <cell r="N1014" t="str">
            <v>권용길</v>
          </cell>
          <cell r="O1014">
            <v>43099</v>
          </cell>
          <cell r="R1014">
            <v>45951</v>
          </cell>
          <cell r="S1014">
            <v>45951</v>
          </cell>
          <cell r="T1014">
            <v>45951</v>
          </cell>
          <cell r="V1014" t="str">
            <v>콘크리트공</v>
          </cell>
        </row>
        <row r="1015">
          <cell r="A1015" t="str">
            <v>이경규</v>
          </cell>
          <cell r="B1015" t="str">
            <v>서울 강동구 천중로 60-11, 202호</v>
          </cell>
          <cell r="C1015" t="str">
            <v>691113-1639326</v>
          </cell>
          <cell r="D1015" t="str">
            <v>010-3098-8228</v>
          </cell>
          <cell r="E1015">
            <v>260000</v>
          </cell>
          <cell r="F1015" t="str">
            <v>남</v>
          </cell>
          <cell r="G1015">
            <v>58</v>
          </cell>
          <cell r="H1015" t="str">
            <v>-</v>
          </cell>
          <cell r="J1015" t="str">
            <v>비계</v>
          </cell>
          <cell r="K1015" t="str">
            <v>정운수</v>
          </cell>
          <cell r="L1015" t="str">
            <v>612929-02-059561</v>
          </cell>
          <cell r="M1015" t="str">
            <v>우체국</v>
          </cell>
          <cell r="N1015" t="str">
            <v>이경규</v>
          </cell>
          <cell r="O1015">
            <v>41095</v>
          </cell>
          <cell r="R1015">
            <v>45951</v>
          </cell>
          <cell r="S1015">
            <v>45951</v>
          </cell>
          <cell r="T1015">
            <v>45951</v>
          </cell>
          <cell r="V1015" t="str">
            <v>콘크리트공</v>
          </cell>
        </row>
        <row r="1016">
          <cell r="A1016" t="str">
            <v>정익채</v>
          </cell>
          <cell r="B1016" t="str">
            <v>서울 강동구 구천면로42길 91(천호동)</v>
          </cell>
          <cell r="C1016" t="str">
            <v>710130-1641911</v>
          </cell>
          <cell r="D1016" t="str">
            <v>010-8120-3890</v>
          </cell>
          <cell r="E1016">
            <v>260000</v>
          </cell>
          <cell r="F1016" t="str">
            <v>남</v>
          </cell>
          <cell r="G1016">
            <v>56</v>
          </cell>
          <cell r="H1016" t="str">
            <v>-</v>
          </cell>
          <cell r="J1016" t="str">
            <v>비계</v>
          </cell>
          <cell r="K1016" t="str">
            <v>정운수</v>
          </cell>
          <cell r="L1016" t="str">
            <v>356-1501-6692-83</v>
          </cell>
          <cell r="M1016" t="str">
            <v>농협은행</v>
          </cell>
          <cell r="N1016" t="str">
            <v>정익채</v>
          </cell>
          <cell r="O1016">
            <v>41075</v>
          </cell>
          <cell r="Q1016" t="str">
            <v/>
          </cell>
          <cell r="R1016">
            <v>45951</v>
          </cell>
          <cell r="S1016">
            <v>45951</v>
          </cell>
          <cell r="T1016">
            <v>45951</v>
          </cell>
          <cell r="V1016" t="str">
            <v>콘크리트공</v>
          </cell>
        </row>
        <row r="1017">
          <cell r="A1017" t="str">
            <v>주청결</v>
          </cell>
          <cell r="B1017" t="str">
            <v>서울 구로구 구로동로 21길32-3 301호</v>
          </cell>
          <cell r="C1017" t="str">
            <v>680501-5920033</v>
          </cell>
          <cell r="D1017" t="str">
            <v>010-5852-6620</v>
          </cell>
          <cell r="E1017">
            <v>260000</v>
          </cell>
          <cell r="F1017" t="str">
            <v>남</v>
          </cell>
          <cell r="G1017">
            <v>59</v>
          </cell>
          <cell r="H1017" t="str">
            <v>외국인</v>
          </cell>
          <cell r="I1017" t="str">
            <v>ZHOU QINGJIE</v>
          </cell>
          <cell r="J1017" t="str">
            <v>타설</v>
          </cell>
          <cell r="K1017" t="str">
            <v>정운수</v>
          </cell>
          <cell r="L1017" t="str">
            <v>352-1143-1518-03</v>
          </cell>
          <cell r="M1017" t="str">
            <v>농협은행</v>
          </cell>
          <cell r="N1017" t="str">
            <v>ZHOU QINGJIE</v>
          </cell>
          <cell r="O1017">
            <v>42529</v>
          </cell>
          <cell r="P1017" t="str">
            <v>방문취업H2</v>
          </cell>
          <cell r="Q1017">
            <v>46218</v>
          </cell>
          <cell r="R1017">
            <v>45954</v>
          </cell>
          <cell r="S1017">
            <v>45954</v>
          </cell>
          <cell r="T1017">
            <v>45954</v>
          </cell>
          <cell r="V1017" t="str">
            <v>콘크리트공</v>
          </cell>
          <cell r="W1017" t="str">
            <v>중국</v>
          </cell>
        </row>
        <row r="1018">
          <cell r="A1018" t="str">
            <v>이성용</v>
          </cell>
          <cell r="B1018" t="str">
            <v>서울 구로구 구로중앙로 24길</v>
          </cell>
          <cell r="C1018" t="str">
            <v>680325-5480195</v>
          </cell>
          <cell r="E1018">
            <v>260000</v>
          </cell>
          <cell r="F1018" t="str">
            <v>남</v>
          </cell>
          <cell r="G1018">
            <v>59</v>
          </cell>
          <cell r="H1018" t="str">
            <v>외국인</v>
          </cell>
          <cell r="I1018" t="str">
            <v>LI CHENGLONG</v>
          </cell>
          <cell r="J1018" t="str">
            <v>타설</v>
          </cell>
          <cell r="K1018" t="str">
            <v>정운수</v>
          </cell>
          <cell r="L1018" t="str">
            <v>355-910294-18007</v>
          </cell>
          <cell r="M1018" t="str">
            <v>하나은행</v>
          </cell>
          <cell r="N1018" t="str">
            <v>LI CHENGLONG</v>
          </cell>
          <cell r="O1018">
            <v>42290</v>
          </cell>
          <cell r="P1018" t="str">
            <v>방문취업H2</v>
          </cell>
          <cell r="Q1018">
            <v>46087</v>
          </cell>
          <cell r="S1018">
            <v>45958</v>
          </cell>
          <cell r="T1018">
            <v>45958</v>
          </cell>
          <cell r="V1018" t="str">
            <v>콘크리트공</v>
          </cell>
          <cell r="W1018" t="str">
            <v>중국</v>
          </cell>
        </row>
        <row r="1019">
          <cell r="A1019" t="str">
            <v>김영현</v>
          </cell>
          <cell r="B1019" t="str">
            <v>경기도 고양시 덕양구 삼송로238</v>
          </cell>
          <cell r="C1019" t="str">
            <v>971228-1184629</v>
          </cell>
          <cell r="D1019" t="str">
            <v>010-5494-5412</v>
          </cell>
          <cell r="E1019">
            <v>260000</v>
          </cell>
          <cell r="F1019" t="str">
            <v>남</v>
          </cell>
          <cell r="G1019">
            <v>30</v>
          </cell>
          <cell r="H1019" t="str">
            <v>-</v>
          </cell>
          <cell r="J1019" t="str">
            <v>타설</v>
          </cell>
          <cell r="K1019" t="str">
            <v>정운수</v>
          </cell>
          <cell r="L1019" t="str">
            <v>258-088575-01-011</v>
          </cell>
          <cell r="M1019" t="str">
            <v>기업은행</v>
          </cell>
          <cell r="N1019" t="str">
            <v>김영현</v>
          </cell>
          <cell r="O1019">
            <v>45958</v>
          </cell>
          <cell r="Q1019" t="str">
            <v/>
          </cell>
          <cell r="R1019">
            <v>45960</v>
          </cell>
          <cell r="S1019">
            <v>45960</v>
          </cell>
          <cell r="T1019">
            <v>45960</v>
          </cell>
          <cell r="V1019" t="str">
            <v>콘크리트공</v>
          </cell>
        </row>
        <row r="1020">
          <cell r="A1020" t="str">
            <v>이활이</v>
          </cell>
          <cell r="E1020">
            <v>260000</v>
          </cell>
          <cell r="F1020" t="str">
            <v/>
          </cell>
          <cell r="G1020" t="str">
            <v/>
          </cell>
          <cell r="H1020" t="str">
            <v/>
          </cell>
          <cell r="J1020" t="str">
            <v>비계</v>
          </cell>
          <cell r="K1020" t="str">
            <v>정운수</v>
          </cell>
          <cell r="Q1020" t="str">
            <v/>
          </cell>
        </row>
        <row r="1021">
          <cell r="A1021" t="str">
            <v>김영학</v>
          </cell>
          <cell r="B1021" t="str">
            <v>강원도 원주시 단계동 916-9</v>
          </cell>
          <cell r="C1021" t="str">
            <v>640930-1771823</v>
          </cell>
          <cell r="D1021" t="str">
            <v>010-2415-3618</v>
          </cell>
          <cell r="E1021">
            <v>260000</v>
          </cell>
          <cell r="F1021" t="str">
            <v>남</v>
          </cell>
          <cell r="G1021">
            <v>63</v>
          </cell>
          <cell r="H1021" t="str">
            <v>-</v>
          </cell>
          <cell r="J1021" t="str">
            <v>비계</v>
          </cell>
          <cell r="K1021" t="str">
            <v>정운수</v>
          </cell>
          <cell r="L1021" t="str">
            <v>202374-02-123276</v>
          </cell>
          <cell r="M1021" t="str">
            <v>우체국</v>
          </cell>
          <cell r="N1021" t="str">
            <v>김영학</v>
          </cell>
          <cell r="O1021">
            <v>41555</v>
          </cell>
          <cell r="Q1021" t="str">
            <v/>
          </cell>
          <cell r="R1021">
            <v>45965</v>
          </cell>
          <cell r="S1021">
            <v>45965</v>
          </cell>
          <cell r="T1021">
            <v>45965</v>
          </cell>
          <cell r="V1021" t="str">
            <v>콘크리트공</v>
          </cell>
        </row>
        <row r="1022">
          <cell r="A1022" t="str">
            <v>김재윤</v>
          </cell>
          <cell r="B1022" t="str">
            <v>강원도 원주시 봉산동 산5</v>
          </cell>
          <cell r="C1022" t="str">
            <v>591202-1268310</v>
          </cell>
          <cell r="D1022" t="str">
            <v>010-8797-3861</v>
          </cell>
          <cell r="E1022">
            <v>260000</v>
          </cell>
          <cell r="F1022" t="str">
            <v>남</v>
          </cell>
          <cell r="G1022">
            <v>68</v>
          </cell>
          <cell r="H1022" t="str">
            <v>-</v>
          </cell>
          <cell r="J1022" t="str">
            <v>비계</v>
          </cell>
          <cell r="K1022" t="str">
            <v>정운수</v>
          </cell>
          <cell r="L1022" t="str">
            <v>307012-51-026421</v>
          </cell>
          <cell r="M1022" t="str">
            <v>농협은행</v>
          </cell>
          <cell r="N1022" t="str">
            <v>김재윤</v>
          </cell>
          <cell r="O1022">
            <v>41481</v>
          </cell>
          <cell r="Q1022" t="str">
            <v/>
          </cell>
          <cell r="R1022">
            <v>45965</v>
          </cell>
          <cell r="S1022">
            <v>45965</v>
          </cell>
          <cell r="T1022">
            <v>45965</v>
          </cell>
          <cell r="V1022" t="str">
            <v>콘크리트공</v>
          </cell>
        </row>
        <row r="1023">
          <cell r="A1023" t="str">
            <v>박범식</v>
          </cell>
          <cell r="B1023" t="str">
            <v>강원도 원주시 치악로 1529-2</v>
          </cell>
          <cell r="C1023" t="str">
            <v>650804-1267817</v>
          </cell>
          <cell r="D1023" t="str">
            <v>010-8406-8024</v>
          </cell>
          <cell r="E1023">
            <v>260000</v>
          </cell>
          <cell r="F1023" t="str">
            <v>남</v>
          </cell>
          <cell r="G1023">
            <v>62</v>
          </cell>
          <cell r="H1023" t="str">
            <v>-</v>
          </cell>
          <cell r="J1023" t="str">
            <v>비계</v>
          </cell>
          <cell r="K1023" t="str">
            <v>정운수</v>
          </cell>
          <cell r="L1023" t="str">
            <v>1010-2735-4600</v>
          </cell>
          <cell r="M1023" t="str">
            <v>수협은행</v>
          </cell>
          <cell r="N1023" t="str">
            <v>(주)우민이엔지</v>
          </cell>
          <cell r="O1023">
            <v>41768</v>
          </cell>
          <cell r="Q1023" t="str">
            <v/>
          </cell>
          <cell r="R1023">
            <v>45965</v>
          </cell>
          <cell r="S1023">
            <v>45965</v>
          </cell>
          <cell r="T1023">
            <v>45965</v>
          </cell>
          <cell r="V1023" t="str">
            <v>콘크리트공</v>
          </cell>
        </row>
        <row r="1024">
          <cell r="A1024" t="str">
            <v>정두선</v>
          </cell>
          <cell r="B1024" t="str">
            <v>강원도 원주시 치악로 1524번길 20-7</v>
          </cell>
          <cell r="C1024" t="str">
            <v>620830-1327012</v>
          </cell>
          <cell r="D1024" t="str">
            <v>010-3377-8239</v>
          </cell>
          <cell r="E1024">
            <v>260000</v>
          </cell>
          <cell r="F1024" t="str">
            <v>남</v>
          </cell>
          <cell r="G1024">
            <v>65</v>
          </cell>
          <cell r="H1024" t="str">
            <v>-</v>
          </cell>
          <cell r="J1024" t="str">
            <v>비계</v>
          </cell>
          <cell r="K1024" t="str">
            <v>정운수</v>
          </cell>
          <cell r="L1024" t="str">
            <v>200659-02-064500</v>
          </cell>
          <cell r="M1024" t="str">
            <v>우체국</v>
          </cell>
          <cell r="N1024" t="str">
            <v>정두선</v>
          </cell>
          <cell r="O1024">
            <v>41384</v>
          </cell>
          <cell r="Q1024" t="str">
            <v/>
          </cell>
          <cell r="R1024">
            <v>45965</v>
          </cell>
          <cell r="S1024">
            <v>45965</v>
          </cell>
          <cell r="T1024">
            <v>45965</v>
          </cell>
          <cell r="V1024" t="str">
            <v>콘크리트공</v>
          </cell>
        </row>
        <row r="1025">
          <cell r="A1025" t="str">
            <v>무소춘</v>
          </cell>
          <cell r="B1025" t="str">
            <v>서울 금천구 벚꽃로46길9,102호</v>
          </cell>
          <cell r="C1025" t="str">
            <v>620421-5140995</v>
          </cell>
          <cell r="D1025" t="str">
            <v>010-4521-6859</v>
          </cell>
          <cell r="E1025">
            <v>260000</v>
          </cell>
          <cell r="F1025" t="str">
            <v>남</v>
          </cell>
          <cell r="G1025">
            <v>65</v>
          </cell>
          <cell r="H1025" t="str">
            <v>외국인</v>
          </cell>
          <cell r="I1025" t="str">
            <v>WU XIAOCHUN</v>
          </cell>
          <cell r="J1025" t="str">
            <v>타설</v>
          </cell>
          <cell r="K1025" t="str">
            <v>정운수</v>
          </cell>
          <cell r="L1025" t="str">
            <v>402-910555-19507</v>
          </cell>
          <cell r="M1025" t="str">
            <v>하나은행</v>
          </cell>
          <cell r="N1025" t="str">
            <v>WU XIAOCHUN</v>
          </cell>
          <cell r="O1025">
            <v>42481</v>
          </cell>
          <cell r="P1025" t="str">
            <v>영주F-5</v>
          </cell>
          <cell r="Q1025">
            <v>49450</v>
          </cell>
          <cell r="R1025">
            <v>45971</v>
          </cell>
          <cell r="S1025">
            <v>45971</v>
          </cell>
          <cell r="T1025">
            <v>45971</v>
          </cell>
          <cell r="V1025" t="str">
            <v>콘크리트공</v>
          </cell>
          <cell r="W1025" t="str">
            <v>중국</v>
          </cell>
        </row>
        <row r="1026">
          <cell r="A1026" t="str">
            <v>김영철</v>
          </cell>
          <cell r="B1026" t="str">
            <v>원주시 예술관길32 206-1503</v>
          </cell>
          <cell r="C1026" t="str">
            <v>680726-1037741</v>
          </cell>
          <cell r="D1026" t="str">
            <v>010-4647-7011</v>
          </cell>
          <cell r="E1026">
            <v>260000</v>
          </cell>
          <cell r="F1026" t="str">
            <v>남</v>
          </cell>
          <cell r="G1026">
            <v>59</v>
          </cell>
          <cell r="H1026" t="str">
            <v>-</v>
          </cell>
          <cell r="J1026" t="str">
            <v>비계</v>
          </cell>
          <cell r="K1026" t="str">
            <v>정운수</v>
          </cell>
          <cell r="L1026" t="str">
            <v>128-117336-01-017</v>
          </cell>
          <cell r="M1026" t="str">
            <v>기업은행</v>
          </cell>
          <cell r="N1026" t="str">
            <v>김영철</v>
          </cell>
          <cell r="O1026">
            <v>42214</v>
          </cell>
          <cell r="R1026">
            <v>45975</v>
          </cell>
          <cell r="S1026">
            <v>45975</v>
          </cell>
          <cell r="T1026">
            <v>45975</v>
          </cell>
          <cell r="V1026" t="str">
            <v>콘크리트공</v>
          </cell>
        </row>
        <row r="1027">
          <cell r="A1027" t="str">
            <v>정용석</v>
          </cell>
          <cell r="B1027" t="str">
            <v>원주시 일산동 155-12</v>
          </cell>
          <cell r="C1027" t="str">
            <v>690313-1323916</v>
          </cell>
          <cell r="D1027" t="str">
            <v>010-3181-7342</v>
          </cell>
          <cell r="E1027">
            <v>260000</v>
          </cell>
          <cell r="F1027" t="str">
            <v>남</v>
          </cell>
          <cell r="G1027">
            <v>58</v>
          </cell>
          <cell r="H1027" t="str">
            <v>-</v>
          </cell>
          <cell r="J1027" t="str">
            <v>비계</v>
          </cell>
          <cell r="K1027" t="str">
            <v>정운수</v>
          </cell>
          <cell r="L1027" t="str">
            <v>351-0058-7357-13</v>
          </cell>
          <cell r="M1027" t="str">
            <v>농협은행</v>
          </cell>
          <cell r="N1027" t="str">
            <v>정용석</v>
          </cell>
          <cell r="O1027">
            <v>42304</v>
          </cell>
          <cell r="R1027">
            <v>45975</v>
          </cell>
          <cell r="S1027">
            <v>45975</v>
          </cell>
          <cell r="T1027">
            <v>45975</v>
          </cell>
          <cell r="V1027" t="str">
            <v>콘크리트공</v>
          </cell>
        </row>
        <row r="1028">
          <cell r="A1028" t="str">
            <v>이성학</v>
          </cell>
          <cell r="B1028" t="str">
            <v>원주시 천매봉길40-12</v>
          </cell>
          <cell r="C1028" t="str">
            <v>741215-1807811</v>
          </cell>
          <cell r="D1028" t="str">
            <v>010-3643-7063</v>
          </cell>
          <cell r="E1028">
            <v>260000</v>
          </cell>
          <cell r="F1028" t="str">
            <v>남</v>
          </cell>
          <cell r="G1028">
            <v>53</v>
          </cell>
          <cell r="H1028" t="str">
            <v>-</v>
          </cell>
          <cell r="J1028" t="str">
            <v>비계</v>
          </cell>
          <cell r="K1028" t="str">
            <v>정운수</v>
          </cell>
          <cell r="O1028">
            <v>41439</v>
          </cell>
          <cell r="R1028">
            <v>45979</v>
          </cell>
          <cell r="S1028">
            <v>45979</v>
          </cell>
          <cell r="T1028">
            <v>45979</v>
          </cell>
          <cell r="V1028" t="str">
            <v>콘크리트공</v>
          </cell>
        </row>
        <row r="1029">
          <cell r="A1029" t="str">
            <v>이승환</v>
          </cell>
          <cell r="B1029" t="str">
            <v>동해시 양지길20-2 104-601</v>
          </cell>
          <cell r="C1029" t="str">
            <v>700102-1342118</v>
          </cell>
          <cell r="D1029" t="str">
            <v>010-7289-7779</v>
          </cell>
          <cell r="E1029">
            <v>260000</v>
          </cell>
          <cell r="F1029" t="str">
            <v>남</v>
          </cell>
          <cell r="G1029">
            <v>57</v>
          </cell>
          <cell r="H1029" t="str">
            <v>-</v>
          </cell>
          <cell r="J1029" t="str">
            <v>비계</v>
          </cell>
          <cell r="K1029" t="str">
            <v>정운수</v>
          </cell>
          <cell r="L1029" t="str">
            <v>202093-02-360378</v>
          </cell>
          <cell r="M1029" t="str">
            <v>우체국</v>
          </cell>
          <cell r="N1029" t="str">
            <v>이승환</v>
          </cell>
          <cell r="O1029">
            <v>41795</v>
          </cell>
          <cell r="R1029">
            <v>45979</v>
          </cell>
          <cell r="S1029">
            <v>45979</v>
          </cell>
          <cell r="T1029">
            <v>45979</v>
          </cell>
          <cell r="V1029" t="str">
            <v>콘크리트공</v>
          </cell>
        </row>
        <row r="1030">
          <cell r="A1030" t="str">
            <v>구길용</v>
          </cell>
          <cell r="B1030" t="str">
            <v>서울 구로구 구로동로22길 14, 301호</v>
          </cell>
          <cell r="C1030" t="str">
            <v>690917-5102790</v>
          </cell>
          <cell r="D1030" t="str">
            <v>010-8109-9981</v>
          </cell>
          <cell r="E1030">
            <v>260000</v>
          </cell>
          <cell r="F1030" t="str">
            <v>남</v>
          </cell>
          <cell r="G1030">
            <v>58</v>
          </cell>
          <cell r="H1030" t="str">
            <v>외국인</v>
          </cell>
          <cell r="I1030" t="str">
            <v>JU JILONG</v>
          </cell>
          <cell r="J1030" t="str">
            <v>타설</v>
          </cell>
          <cell r="K1030" t="str">
            <v>정운수</v>
          </cell>
          <cell r="L1030" t="str">
            <v>1002-946-187528</v>
          </cell>
          <cell r="M1030" t="str">
            <v>우리은행</v>
          </cell>
          <cell r="N1030" t="str">
            <v>JU JILONG</v>
          </cell>
          <cell r="O1030">
            <v>41646</v>
          </cell>
          <cell r="P1030" t="str">
            <v>영주F-5</v>
          </cell>
          <cell r="Q1030" t="str">
            <v>신분존속기간</v>
          </cell>
          <cell r="R1030">
            <v>45980</v>
          </cell>
          <cell r="S1030">
            <v>45980</v>
          </cell>
          <cell r="T1030">
            <v>45980</v>
          </cell>
          <cell r="V1030" t="str">
            <v>콘크리트공</v>
          </cell>
          <cell r="W1030" t="str">
            <v>중국</v>
          </cell>
        </row>
        <row r="1031">
          <cell r="A1031" t="str">
            <v>이성준</v>
          </cell>
          <cell r="B1031" t="str">
            <v>서울 금천구 독산로11길 7-1, 2층</v>
          </cell>
          <cell r="C1031" t="str">
            <v>770507-5500171</v>
          </cell>
          <cell r="D1031" t="str">
            <v>010-4997-5888</v>
          </cell>
          <cell r="E1031">
            <v>260000</v>
          </cell>
          <cell r="F1031" t="str">
            <v>남</v>
          </cell>
          <cell r="G1031">
            <v>50</v>
          </cell>
          <cell r="H1031" t="str">
            <v>외국인</v>
          </cell>
          <cell r="I1031" t="str">
            <v>LI CHENGJUN</v>
          </cell>
          <cell r="J1031" t="str">
            <v>타설</v>
          </cell>
          <cell r="K1031" t="str">
            <v>정운수</v>
          </cell>
          <cell r="L1031" t="str">
            <v>188-910455-67907</v>
          </cell>
          <cell r="M1031" t="str">
            <v>하나은행</v>
          </cell>
          <cell r="N1031" t="str">
            <v>LI CHENGJUN</v>
          </cell>
          <cell r="O1031">
            <v>43643</v>
          </cell>
          <cell r="P1031" t="str">
            <v>재외동포F4</v>
          </cell>
          <cell r="Q1031">
            <v>46965</v>
          </cell>
          <cell r="R1031">
            <v>45980</v>
          </cell>
          <cell r="S1031">
            <v>45980</v>
          </cell>
          <cell r="T1031">
            <v>45980</v>
          </cell>
          <cell r="V1031" t="str">
            <v>콘크리트공</v>
          </cell>
          <cell r="W1031" t="str">
            <v>중국</v>
          </cell>
        </row>
        <row r="1032">
          <cell r="A1032" t="str">
            <v>임영복</v>
          </cell>
          <cell r="B1032" t="str">
            <v>서울 구로구 구로동로26길55,302호</v>
          </cell>
          <cell r="C1032" t="str">
            <v>620424-5920104</v>
          </cell>
          <cell r="D1032" t="str">
            <v>010-7273-3959</v>
          </cell>
          <cell r="E1032">
            <v>260000</v>
          </cell>
          <cell r="F1032" t="str">
            <v>남</v>
          </cell>
          <cell r="G1032">
            <v>65</v>
          </cell>
          <cell r="H1032" t="str">
            <v>외국인</v>
          </cell>
          <cell r="I1032" t="str">
            <v>LIN YONGFU</v>
          </cell>
          <cell r="J1032" t="str">
            <v>타설</v>
          </cell>
          <cell r="K1032" t="str">
            <v>정운수</v>
          </cell>
          <cell r="L1032" t="str">
            <v>356-1251-9996-33</v>
          </cell>
          <cell r="M1032" t="str">
            <v>농협은행</v>
          </cell>
          <cell r="N1032" t="str">
            <v>LIN YONGFU</v>
          </cell>
          <cell r="O1032">
            <v>42928</v>
          </cell>
          <cell r="P1032" t="str">
            <v>재외동포F4</v>
          </cell>
          <cell r="Q1032">
            <v>46564</v>
          </cell>
          <cell r="R1032">
            <v>45980</v>
          </cell>
          <cell r="S1032">
            <v>45980</v>
          </cell>
          <cell r="T1032">
            <v>45980</v>
          </cell>
          <cell r="V1032" t="str">
            <v>콘크리트공</v>
          </cell>
          <cell r="W1032" t="str">
            <v>중국</v>
          </cell>
        </row>
        <row r="1033">
          <cell r="A1033" t="str">
            <v>이성철콘</v>
          </cell>
          <cell r="B1033" t="str">
            <v>서울 구로구 가야산로 153-11 202호</v>
          </cell>
          <cell r="C1033" t="str">
            <v>760305-5760030</v>
          </cell>
          <cell r="D1033" t="str">
            <v>010-5311-7791</v>
          </cell>
          <cell r="E1033">
            <v>260000</v>
          </cell>
          <cell r="F1033" t="str">
            <v>남</v>
          </cell>
          <cell r="G1033">
            <v>51</v>
          </cell>
          <cell r="H1033" t="str">
            <v>외국인</v>
          </cell>
          <cell r="I1033" t="str">
            <v>LI CHENGZHE</v>
          </cell>
          <cell r="J1033" t="str">
            <v>타설</v>
          </cell>
          <cell r="K1033" t="str">
            <v>정운수</v>
          </cell>
          <cell r="L1033" t="str">
            <v>356-0933-4162-53</v>
          </cell>
          <cell r="M1033" t="str">
            <v>농협은행</v>
          </cell>
          <cell r="N1033" t="str">
            <v>LI CHENGZHE</v>
          </cell>
          <cell r="O1033">
            <v>41749</v>
          </cell>
          <cell r="P1033" t="str">
            <v>재외동포F4</v>
          </cell>
          <cell r="Q1033">
            <v>46427</v>
          </cell>
          <cell r="R1033">
            <v>45980</v>
          </cell>
          <cell r="S1033">
            <v>45980</v>
          </cell>
          <cell r="T1033">
            <v>45980</v>
          </cell>
          <cell r="V1033" t="str">
            <v>콘크리트공</v>
          </cell>
          <cell r="W1033" t="str">
            <v>중국</v>
          </cell>
        </row>
        <row r="1034">
          <cell r="A1034" t="str">
            <v>조항의</v>
          </cell>
          <cell r="B1034" t="str">
            <v>충북 청원군 내수읍 은곡리 98</v>
          </cell>
          <cell r="C1034" t="str">
            <v>641210-1381022</v>
          </cell>
          <cell r="D1034" t="str">
            <v>010-5647-0224</v>
          </cell>
          <cell r="E1034">
            <v>260000</v>
          </cell>
          <cell r="F1034" t="str">
            <v>남</v>
          </cell>
          <cell r="G1034">
            <v>63</v>
          </cell>
          <cell r="H1034" t="str">
            <v>-</v>
          </cell>
          <cell r="J1034" t="str">
            <v>비계</v>
          </cell>
          <cell r="K1034" t="str">
            <v>정운수</v>
          </cell>
          <cell r="L1034" t="str">
            <v>9003-2619-7069-2</v>
          </cell>
          <cell r="M1034" t="str">
            <v>새마을금고중앙회</v>
          </cell>
          <cell r="N1034" t="str">
            <v>조항의</v>
          </cell>
          <cell r="O1034">
            <v>41592</v>
          </cell>
          <cell r="R1034">
            <v>45981</v>
          </cell>
          <cell r="S1034">
            <v>45981</v>
          </cell>
          <cell r="T1034">
            <v>45981</v>
          </cell>
          <cell r="V1034" t="str">
            <v>콘크리트공</v>
          </cell>
        </row>
        <row r="1035">
          <cell r="A1035" t="str">
            <v>노수용</v>
          </cell>
          <cell r="B1035" t="str">
            <v>춘천시 효석로89번길 24-1</v>
          </cell>
          <cell r="C1035" t="str">
            <v>650711-1519911</v>
          </cell>
          <cell r="D1035" t="str">
            <v>010-3546-0443</v>
          </cell>
          <cell r="E1035">
            <v>260000</v>
          </cell>
          <cell r="F1035" t="str">
            <v>남</v>
          </cell>
          <cell r="G1035">
            <v>62</v>
          </cell>
          <cell r="H1035" t="str">
            <v>-</v>
          </cell>
          <cell r="J1035" t="str">
            <v>비계</v>
          </cell>
          <cell r="K1035" t="str">
            <v>정운수</v>
          </cell>
          <cell r="L1035" t="str">
            <v>356-0851-8588-63</v>
          </cell>
          <cell r="M1035" t="str">
            <v>농협은행</v>
          </cell>
          <cell r="N1035" t="str">
            <v>노수용</v>
          </cell>
          <cell r="O1035">
            <v>44978</v>
          </cell>
          <cell r="R1035">
            <v>45983</v>
          </cell>
          <cell r="S1035">
            <v>45983</v>
          </cell>
          <cell r="T1035">
            <v>45983</v>
          </cell>
          <cell r="V1035" t="str">
            <v>콘크리트공</v>
          </cell>
        </row>
        <row r="1036">
          <cell r="A1036" t="str">
            <v>박재문</v>
          </cell>
          <cell r="B1036" t="str">
            <v>서울 구로구 구로중앙로12길 7-41</v>
          </cell>
          <cell r="C1036" t="str">
            <v>890702-5920047</v>
          </cell>
          <cell r="D1036" t="str">
            <v>010-8267-5999</v>
          </cell>
          <cell r="E1036">
            <v>260000</v>
          </cell>
          <cell r="F1036" t="str">
            <v>남</v>
          </cell>
          <cell r="G1036">
            <v>38</v>
          </cell>
          <cell r="H1036" t="str">
            <v>외국인</v>
          </cell>
          <cell r="I1036" t="str">
            <v>PIAO ZIWEN</v>
          </cell>
          <cell r="J1036" t="str">
            <v>비계</v>
          </cell>
          <cell r="K1036" t="str">
            <v>정운수</v>
          </cell>
          <cell r="L1036" t="str">
            <v>356-1074-9901-83</v>
          </cell>
          <cell r="M1036" t="str">
            <v>농협은행</v>
          </cell>
          <cell r="N1036" t="str">
            <v>PIAO ZIWEN</v>
          </cell>
          <cell r="O1036">
            <v>45561</v>
          </cell>
          <cell r="P1036" t="str">
            <v>재외동포F-4</v>
          </cell>
          <cell r="Q1036">
            <v>47080</v>
          </cell>
          <cell r="R1036">
            <v>45985</v>
          </cell>
          <cell r="S1036">
            <v>45985</v>
          </cell>
          <cell r="T1036">
            <v>45985</v>
          </cell>
          <cell r="V1036" t="str">
            <v>콘크리트공</v>
          </cell>
          <cell r="W1036" t="str">
            <v>중국</v>
          </cell>
        </row>
        <row r="1037">
          <cell r="A1037" t="str">
            <v>박영태</v>
          </cell>
          <cell r="B1037" t="str">
            <v>강원 원주시 이화2길 11,201호</v>
          </cell>
          <cell r="C1037" t="str">
            <v>830505-5100037</v>
          </cell>
          <cell r="D1037" t="str">
            <v>010-6394-2329</v>
          </cell>
          <cell r="E1037">
            <v>260000</v>
          </cell>
          <cell r="F1037" t="str">
            <v>남</v>
          </cell>
          <cell r="G1037">
            <v>44</v>
          </cell>
          <cell r="H1037" t="str">
            <v>외국인</v>
          </cell>
          <cell r="I1037" t="str">
            <v>PIAO YONGTAI</v>
          </cell>
          <cell r="J1037" t="str">
            <v>비계</v>
          </cell>
          <cell r="K1037" t="str">
            <v>정운수</v>
          </cell>
          <cell r="L1037" t="str">
            <v>1010-2735-4600</v>
          </cell>
          <cell r="M1037" t="str">
            <v>수협은행</v>
          </cell>
          <cell r="N1037" t="str">
            <v>(주)우민이엔지</v>
          </cell>
          <cell r="O1037">
            <v>45434</v>
          </cell>
          <cell r="P1037" t="str">
            <v>재외동포F-4</v>
          </cell>
          <cell r="Q1037">
            <v>46592</v>
          </cell>
          <cell r="R1037">
            <v>45985</v>
          </cell>
          <cell r="S1037">
            <v>45985</v>
          </cell>
          <cell r="T1037">
            <v>45985</v>
          </cell>
          <cell r="V1037" t="str">
            <v>콘크리트공</v>
          </cell>
          <cell r="W1037" t="str">
            <v>중국</v>
          </cell>
        </row>
        <row r="1038">
          <cell r="A1038" t="str">
            <v>김길중</v>
          </cell>
          <cell r="B1038" t="str">
            <v>강원 원주시 흥업면 흥업리596-1 301호</v>
          </cell>
          <cell r="C1038" t="str">
            <v>630906-1324011</v>
          </cell>
          <cell r="D1038" t="str">
            <v>010-7146-8286</v>
          </cell>
          <cell r="E1038">
            <v>260000</v>
          </cell>
          <cell r="F1038" t="str">
            <v>남</v>
          </cell>
          <cell r="G1038">
            <v>64</v>
          </cell>
          <cell r="H1038" t="str">
            <v>-</v>
          </cell>
          <cell r="J1038" t="str">
            <v>비계</v>
          </cell>
          <cell r="K1038" t="str">
            <v>정운수</v>
          </cell>
          <cell r="L1038" t="str">
            <v>202226-02-158526</v>
          </cell>
          <cell r="M1038" t="str">
            <v>우체국</v>
          </cell>
          <cell r="N1038" t="str">
            <v>김길중</v>
          </cell>
          <cell r="O1038">
            <v>41911</v>
          </cell>
          <cell r="R1038">
            <v>45985</v>
          </cell>
          <cell r="S1038">
            <v>45985</v>
          </cell>
          <cell r="T1038">
            <v>45985</v>
          </cell>
          <cell r="V1038" t="str">
            <v>콘크리트공</v>
          </cell>
        </row>
        <row r="1039">
          <cell r="A1039" t="str">
            <v>신재철</v>
          </cell>
          <cell r="B1039" t="str">
            <v>강원 원주 남원로 103-2 102-1605</v>
          </cell>
          <cell r="C1039" t="str">
            <v>670418-1810113</v>
          </cell>
          <cell r="D1039" t="str">
            <v>010-8745-5283</v>
          </cell>
          <cell r="E1039">
            <v>260000</v>
          </cell>
          <cell r="F1039" t="str">
            <v>남</v>
          </cell>
          <cell r="G1039">
            <v>60</v>
          </cell>
          <cell r="H1039" t="str">
            <v>-</v>
          </cell>
          <cell r="J1039" t="str">
            <v>비계</v>
          </cell>
          <cell r="K1039" t="str">
            <v>정운수</v>
          </cell>
          <cell r="L1039" t="str">
            <v>1010-2735-4600</v>
          </cell>
          <cell r="M1039" t="str">
            <v>수협은행</v>
          </cell>
          <cell r="N1039" t="str">
            <v>(주)우민이엔지</v>
          </cell>
          <cell r="O1039">
            <v>42004</v>
          </cell>
          <cell r="R1039">
            <v>45985</v>
          </cell>
          <cell r="S1039">
            <v>45985</v>
          </cell>
          <cell r="T1039">
            <v>45985</v>
          </cell>
          <cell r="V1039" t="str">
            <v>콘크리트공</v>
          </cell>
        </row>
        <row r="1040">
          <cell r="A1040" t="str">
            <v>김진남</v>
          </cell>
          <cell r="B1040" t="str">
            <v>강원 원주 솔우물1길 13-1 4층401호</v>
          </cell>
          <cell r="C1040" t="str">
            <v>680319-1664211</v>
          </cell>
          <cell r="D1040" t="str">
            <v>010-8798-1842</v>
          </cell>
          <cell r="E1040">
            <v>260000</v>
          </cell>
          <cell r="F1040" t="str">
            <v>남</v>
          </cell>
          <cell r="G1040">
            <v>59</v>
          </cell>
          <cell r="H1040" t="str">
            <v>-</v>
          </cell>
          <cell r="J1040" t="str">
            <v>비계</v>
          </cell>
          <cell r="K1040" t="str">
            <v>정운수</v>
          </cell>
          <cell r="L1040" t="str">
            <v>356-1155-7751-73</v>
          </cell>
          <cell r="M1040" t="str">
            <v>농협은행</v>
          </cell>
          <cell r="N1040" t="str">
            <v>김진남</v>
          </cell>
          <cell r="O1040">
            <v>43879</v>
          </cell>
          <cell r="R1040">
            <v>45985</v>
          </cell>
          <cell r="S1040">
            <v>45985</v>
          </cell>
          <cell r="T1040">
            <v>45985</v>
          </cell>
          <cell r="V1040" t="str">
            <v>콘크리트공</v>
          </cell>
        </row>
        <row r="1041">
          <cell r="A1041" t="str">
            <v>강택경</v>
          </cell>
          <cell r="B1041" t="str">
            <v>서울 구로구 구로동로40길 12,501호</v>
          </cell>
          <cell r="C1041" t="str">
            <v>661212-5101598</v>
          </cell>
          <cell r="D1041" t="str">
            <v>010-9316-9768</v>
          </cell>
          <cell r="E1041">
            <v>260000</v>
          </cell>
          <cell r="F1041" t="str">
            <v>남</v>
          </cell>
          <cell r="G1041">
            <v>61</v>
          </cell>
          <cell r="H1041" t="str">
            <v>외국인</v>
          </cell>
          <cell r="I1041" t="str">
            <v>KANG ZEJING</v>
          </cell>
          <cell r="J1041" t="str">
            <v>타설</v>
          </cell>
          <cell r="K1041" t="str">
            <v>정운수</v>
          </cell>
          <cell r="L1041" t="str">
            <v>1002-459-188221</v>
          </cell>
          <cell r="M1041" t="str">
            <v>우리은행</v>
          </cell>
          <cell r="N1041" t="str">
            <v>KANG ZEJING</v>
          </cell>
          <cell r="O1041">
            <v>41066</v>
          </cell>
          <cell r="P1041" t="str">
            <v>영주F5</v>
          </cell>
          <cell r="Q1041">
            <v>48470</v>
          </cell>
          <cell r="R1041">
            <v>45989</v>
          </cell>
          <cell r="S1041">
            <v>45989</v>
          </cell>
          <cell r="T1041">
            <v>45989</v>
          </cell>
          <cell r="V1041" t="str">
            <v>콘크리트공</v>
          </cell>
          <cell r="W1041" t="str">
            <v>중국</v>
          </cell>
        </row>
        <row r="1042">
          <cell r="A1042" t="str">
            <v>배을산</v>
          </cell>
          <cell r="B1042" t="str">
            <v>원주시 개운동 384-9</v>
          </cell>
          <cell r="C1042" t="str">
            <v>670515-1450818</v>
          </cell>
          <cell r="D1042" t="str">
            <v>010-2272-5514</v>
          </cell>
          <cell r="E1042">
            <v>260000</v>
          </cell>
          <cell r="F1042" t="str">
            <v>남</v>
          </cell>
          <cell r="G1042">
            <v>60</v>
          </cell>
          <cell r="H1042" t="str">
            <v>-</v>
          </cell>
          <cell r="J1042" t="str">
            <v>비계</v>
          </cell>
          <cell r="K1042" t="str">
            <v>정운수</v>
          </cell>
          <cell r="L1042" t="str">
            <v>1010-2735-4600</v>
          </cell>
          <cell r="M1042" t="str">
            <v>수협은행</v>
          </cell>
          <cell r="N1042" t="str">
            <v>(주)우민이엔지</v>
          </cell>
          <cell r="O1042">
            <v>41616</v>
          </cell>
          <cell r="R1042">
            <v>45989</v>
          </cell>
          <cell r="S1042">
            <v>45989</v>
          </cell>
          <cell r="T1042">
            <v>45989</v>
          </cell>
          <cell r="V1042" t="str">
            <v>콘크리트공</v>
          </cell>
        </row>
        <row r="1043">
          <cell r="A1043" t="str">
            <v>구완섭</v>
          </cell>
          <cell r="B1043" t="str">
            <v>원주 치악로 2033,802-1507</v>
          </cell>
          <cell r="C1043" t="str">
            <v>640627-1460011</v>
          </cell>
          <cell r="D1043" t="str">
            <v>010-9939-4836</v>
          </cell>
          <cell r="E1043">
            <v>260000</v>
          </cell>
          <cell r="F1043" t="str">
            <v>남</v>
          </cell>
          <cell r="G1043">
            <v>63</v>
          </cell>
          <cell r="H1043" t="str">
            <v>-</v>
          </cell>
          <cell r="J1043" t="str">
            <v>비계</v>
          </cell>
          <cell r="K1043" t="str">
            <v>정운수</v>
          </cell>
          <cell r="L1043" t="str">
            <v>352-1164-6404-73</v>
          </cell>
          <cell r="M1043" t="str">
            <v>농협은행</v>
          </cell>
          <cell r="N1043" t="str">
            <v>구완섭</v>
          </cell>
          <cell r="O1043">
            <v>42158</v>
          </cell>
          <cell r="R1043">
            <v>45989</v>
          </cell>
          <cell r="S1043">
            <v>45989</v>
          </cell>
          <cell r="T1043">
            <v>45989</v>
          </cell>
          <cell r="V1043" t="str">
            <v>콘크리트공</v>
          </cell>
        </row>
        <row r="1044">
          <cell r="A1044" t="str">
            <v>정일상</v>
          </cell>
          <cell r="B1044" t="str">
            <v>원주시 원문로 118번길 12</v>
          </cell>
          <cell r="C1044" t="str">
            <v>680302-1328415</v>
          </cell>
          <cell r="D1044" t="str">
            <v>010-5925-0224</v>
          </cell>
          <cell r="E1044">
            <v>260000</v>
          </cell>
          <cell r="F1044" t="str">
            <v>남</v>
          </cell>
          <cell r="G1044">
            <v>59</v>
          </cell>
          <cell r="H1044" t="str">
            <v>-</v>
          </cell>
          <cell r="J1044" t="str">
            <v>타설</v>
          </cell>
          <cell r="K1044" t="str">
            <v>정운수</v>
          </cell>
          <cell r="L1044" t="str">
            <v>351-1197-3461-13</v>
          </cell>
          <cell r="M1044" t="str">
            <v>농협은행</v>
          </cell>
          <cell r="N1044" t="str">
            <v>정일상</v>
          </cell>
          <cell r="O1044">
            <v>41680</v>
          </cell>
          <cell r="R1044">
            <v>45996</v>
          </cell>
          <cell r="S1044">
            <v>45996</v>
          </cell>
          <cell r="T1044">
            <v>45996</v>
          </cell>
          <cell r="V1044" t="str">
            <v>콘크리트공</v>
          </cell>
        </row>
        <row r="1045">
          <cell r="A1045" t="str">
            <v>전돈석</v>
          </cell>
          <cell r="B1045" t="str">
            <v>울산 북구 염포동 479-3</v>
          </cell>
          <cell r="C1045" t="str">
            <v>650516-1328413</v>
          </cell>
          <cell r="D1045" t="str">
            <v>010-5364-9771</v>
          </cell>
          <cell r="E1045">
            <v>260000</v>
          </cell>
          <cell r="F1045" t="str">
            <v>남</v>
          </cell>
          <cell r="G1045">
            <v>62</v>
          </cell>
          <cell r="H1045" t="str">
            <v>-</v>
          </cell>
          <cell r="J1045" t="str">
            <v>타설</v>
          </cell>
          <cell r="K1045" t="str">
            <v>정운수</v>
          </cell>
          <cell r="L1045" t="str">
            <v>352-1637-7889-03</v>
          </cell>
          <cell r="M1045" t="str">
            <v>농협은행</v>
          </cell>
          <cell r="N1045" t="str">
            <v>전돈석</v>
          </cell>
          <cell r="O1045">
            <v>41592</v>
          </cell>
          <cell r="R1045">
            <v>45996</v>
          </cell>
          <cell r="S1045">
            <v>45996</v>
          </cell>
          <cell r="T1045">
            <v>45996</v>
          </cell>
          <cell r="V1045" t="str">
            <v>콘크리트공</v>
          </cell>
        </row>
        <row r="1046">
          <cell r="A1046" t="str">
            <v>김성남</v>
          </cell>
          <cell r="B1046" t="str">
            <v>원주시 감영길 18</v>
          </cell>
          <cell r="C1046" t="str">
            <v>731221-1323417</v>
          </cell>
          <cell r="D1046" t="str">
            <v>010-9399-2417</v>
          </cell>
          <cell r="E1046">
            <v>260000</v>
          </cell>
          <cell r="F1046" t="str">
            <v>남</v>
          </cell>
          <cell r="G1046">
            <v>54</v>
          </cell>
          <cell r="H1046" t="str">
            <v>-</v>
          </cell>
          <cell r="J1046" t="str">
            <v>타설</v>
          </cell>
          <cell r="K1046" t="str">
            <v>정운수</v>
          </cell>
          <cell r="L1046" t="str">
            <v>351-0692-3844-13</v>
          </cell>
          <cell r="M1046" t="str">
            <v>농협은행</v>
          </cell>
          <cell r="N1046" t="str">
            <v>김성남</v>
          </cell>
          <cell r="O1046">
            <v>41718</v>
          </cell>
          <cell r="R1046">
            <v>45996</v>
          </cell>
          <cell r="S1046">
            <v>45996</v>
          </cell>
          <cell r="T1046">
            <v>45996</v>
          </cell>
          <cell r="V1046" t="str">
            <v>콘크리트공</v>
          </cell>
        </row>
        <row r="1047">
          <cell r="A1047" t="str">
            <v>김광엽</v>
          </cell>
          <cell r="B1047" t="str">
            <v>원주시 판부면 오성마을길 43</v>
          </cell>
          <cell r="C1047" t="str">
            <v>851222-1697415</v>
          </cell>
          <cell r="D1047" t="str">
            <v>010-4732-5438</v>
          </cell>
          <cell r="E1047">
            <v>260000</v>
          </cell>
          <cell r="F1047" t="str">
            <v>남</v>
          </cell>
          <cell r="G1047">
            <v>42</v>
          </cell>
          <cell r="H1047" t="str">
            <v>-</v>
          </cell>
          <cell r="J1047" t="str">
            <v>타설</v>
          </cell>
          <cell r="K1047" t="str">
            <v>정운수</v>
          </cell>
          <cell r="L1047" t="str">
            <v>691-910193-09107</v>
          </cell>
          <cell r="M1047" t="str">
            <v>하나은행</v>
          </cell>
          <cell r="N1047" t="str">
            <v>김광엽</v>
          </cell>
          <cell r="O1047">
            <v>43122</v>
          </cell>
          <cell r="R1047">
            <v>45999</v>
          </cell>
          <cell r="S1047">
            <v>45999</v>
          </cell>
          <cell r="T1047">
            <v>45999</v>
          </cell>
          <cell r="V1047" t="str">
            <v>콘크리트공</v>
          </cell>
        </row>
        <row r="1048">
          <cell r="A1048" t="str">
            <v>김석태</v>
          </cell>
          <cell r="B1048" t="str">
            <v>강원 원주 북원로 2425, 53-1</v>
          </cell>
          <cell r="C1048" t="str">
            <v>710410-1466720</v>
          </cell>
          <cell r="D1048" t="str">
            <v>010-7346-1214</v>
          </cell>
          <cell r="E1048">
            <v>260000</v>
          </cell>
          <cell r="F1048" t="str">
            <v>남</v>
          </cell>
          <cell r="G1048">
            <v>56</v>
          </cell>
          <cell r="H1048" t="str">
            <v>-</v>
          </cell>
          <cell r="J1048" t="str">
            <v>타설</v>
          </cell>
          <cell r="K1048" t="str">
            <v>정운수</v>
          </cell>
          <cell r="L1048" t="str">
            <v>352-0754-3862-13</v>
          </cell>
          <cell r="M1048" t="str">
            <v>농협은행</v>
          </cell>
          <cell r="N1048" t="str">
            <v>김석태</v>
          </cell>
          <cell r="O1048">
            <v>41509</v>
          </cell>
          <cell r="R1048">
            <v>46006</v>
          </cell>
          <cell r="S1048">
            <v>46006</v>
          </cell>
          <cell r="T1048">
            <v>46006</v>
          </cell>
          <cell r="V1048" t="str">
            <v>콘크리트공</v>
          </cell>
        </row>
        <row r="1049">
          <cell r="A1049" t="str">
            <v>안성구</v>
          </cell>
          <cell r="B1049" t="str">
            <v>경기 시흥 옥터로 36번길 8-2,402</v>
          </cell>
          <cell r="C1049" t="str">
            <v>630101-1382126</v>
          </cell>
          <cell r="D1049" t="str">
            <v>010-4782-0558</v>
          </cell>
          <cell r="E1049">
            <v>260000</v>
          </cell>
          <cell r="F1049" t="str">
            <v>남</v>
          </cell>
          <cell r="G1049">
            <v>64</v>
          </cell>
          <cell r="H1049" t="str">
            <v>-</v>
          </cell>
          <cell r="J1049" t="str">
            <v>타설</v>
          </cell>
          <cell r="K1049" t="str">
            <v>정운수</v>
          </cell>
          <cell r="O1049">
            <v>41110</v>
          </cell>
          <cell r="R1049">
            <v>46006</v>
          </cell>
          <cell r="S1049">
            <v>46006</v>
          </cell>
          <cell r="T1049">
            <v>46006</v>
          </cell>
          <cell r="V1049" t="str">
            <v>콘크리트공</v>
          </cell>
        </row>
        <row r="1050">
          <cell r="A1050" t="str">
            <v>노하상</v>
          </cell>
          <cell r="B1050" t="str">
            <v>강원 원주 시청로 40, 705-403</v>
          </cell>
          <cell r="C1050" t="str">
            <v>601001-1925615</v>
          </cell>
          <cell r="D1050" t="str">
            <v>010-5309-1984</v>
          </cell>
          <cell r="E1050">
            <v>260000</v>
          </cell>
          <cell r="F1050" t="str">
            <v>남</v>
          </cell>
          <cell r="G1050">
            <v>67</v>
          </cell>
          <cell r="H1050" t="str">
            <v>-</v>
          </cell>
          <cell r="J1050" t="str">
            <v>타설</v>
          </cell>
          <cell r="K1050" t="str">
            <v>정운수</v>
          </cell>
          <cell r="L1050" t="str">
            <v>307129-51-134065</v>
          </cell>
          <cell r="M1050" t="str">
            <v>농협은행</v>
          </cell>
          <cell r="N1050" t="str">
            <v>노하상</v>
          </cell>
          <cell r="O1050">
            <v>41488</v>
          </cell>
          <cell r="R1050">
            <v>46008</v>
          </cell>
          <cell r="S1050">
            <v>46008</v>
          </cell>
          <cell r="T1050">
            <v>46008</v>
          </cell>
          <cell r="V1050" t="str">
            <v>콘크리트공</v>
          </cell>
        </row>
        <row r="1051">
          <cell r="A1051" t="str">
            <v>김종철</v>
          </cell>
          <cell r="B1051" t="str">
            <v>강원 원주 판부면 오성마을길 57-3</v>
          </cell>
          <cell r="C1051" t="str">
            <v>740708-1326915</v>
          </cell>
          <cell r="D1051" t="str">
            <v>010-8693-9348</v>
          </cell>
          <cell r="E1051">
            <v>260000</v>
          </cell>
          <cell r="F1051" t="str">
            <v>남</v>
          </cell>
          <cell r="G1051">
            <v>53</v>
          </cell>
          <cell r="H1051" t="str">
            <v>-</v>
          </cell>
          <cell r="J1051" t="str">
            <v>타설</v>
          </cell>
          <cell r="K1051" t="str">
            <v>정운수</v>
          </cell>
          <cell r="L1051" t="str">
            <v>110-431-190890</v>
          </cell>
          <cell r="M1051" t="str">
            <v>신한은행</v>
          </cell>
          <cell r="N1051" t="str">
            <v>김종철</v>
          </cell>
          <cell r="O1051">
            <v>42794</v>
          </cell>
          <cell r="R1051">
            <v>46013</v>
          </cell>
          <cell r="S1051">
            <v>46013</v>
          </cell>
          <cell r="T1051">
            <v>46013</v>
          </cell>
          <cell r="V1051" t="str">
            <v>콘크리트공</v>
          </cell>
        </row>
        <row r="1052">
          <cell r="A1052" t="str">
            <v>김종태콘</v>
          </cell>
          <cell r="B1052" t="str">
            <v>강원 원주 송계1길4</v>
          </cell>
          <cell r="C1052" t="str">
            <v>670513-1326914</v>
          </cell>
          <cell r="D1052" t="str">
            <v>010-2912-0967</v>
          </cell>
          <cell r="E1052">
            <v>260000</v>
          </cell>
          <cell r="F1052" t="str">
            <v>남</v>
          </cell>
          <cell r="G1052">
            <v>60</v>
          </cell>
          <cell r="H1052" t="str">
            <v>-</v>
          </cell>
          <cell r="J1052" t="str">
            <v>타설</v>
          </cell>
          <cell r="K1052" t="str">
            <v>정운수</v>
          </cell>
          <cell r="O1052">
            <v>42012</v>
          </cell>
          <cell r="R1052">
            <v>46013</v>
          </cell>
          <cell r="S1052">
            <v>46013</v>
          </cell>
          <cell r="T1052">
            <v>46013</v>
          </cell>
          <cell r="V1052" t="str">
            <v>콘크리트공</v>
          </cell>
        </row>
        <row r="1053">
          <cell r="A1053" t="str">
            <v>유명식</v>
          </cell>
          <cell r="B1053" t="str">
            <v>강원 원주 남산로218</v>
          </cell>
          <cell r="C1053" t="str">
            <v>790313-1267920</v>
          </cell>
          <cell r="D1053" t="str">
            <v>010-9833-0482</v>
          </cell>
          <cell r="E1053">
            <v>260000</v>
          </cell>
          <cell r="F1053" t="str">
            <v>남</v>
          </cell>
          <cell r="G1053">
            <v>48</v>
          </cell>
          <cell r="H1053" t="str">
            <v>-</v>
          </cell>
          <cell r="J1053" t="str">
            <v>타설</v>
          </cell>
          <cell r="K1053" t="str">
            <v>정운수</v>
          </cell>
          <cell r="O1053">
            <v>42550</v>
          </cell>
          <cell r="R1053">
            <v>46013</v>
          </cell>
          <cell r="S1053">
            <v>46013</v>
          </cell>
          <cell r="T1053">
            <v>46013</v>
          </cell>
          <cell r="V1053" t="str">
            <v>콘크리트공</v>
          </cell>
        </row>
        <row r="1054">
          <cell r="A1054" t="str">
            <v>이강훈</v>
          </cell>
          <cell r="B1054" t="str">
            <v>경기 양평군 양평읍 중앙로 167,62</v>
          </cell>
          <cell r="C1054" t="str">
            <v>670215-1657613</v>
          </cell>
          <cell r="D1054" t="str">
            <v>010-7654-5755</v>
          </cell>
          <cell r="E1054">
            <v>260000</v>
          </cell>
          <cell r="F1054" t="str">
            <v>남</v>
          </cell>
          <cell r="G1054">
            <v>60</v>
          </cell>
          <cell r="H1054" t="str">
            <v>-</v>
          </cell>
          <cell r="J1054" t="str">
            <v>타설</v>
          </cell>
          <cell r="K1054" t="str">
            <v>정운수</v>
          </cell>
          <cell r="O1054">
            <v>42885</v>
          </cell>
          <cell r="R1054">
            <v>46013</v>
          </cell>
          <cell r="S1054">
            <v>46013</v>
          </cell>
          <cell r="T1054">
            <v>46013</v>
          </cell>
          <cell r="V1054" t="str">
            <v>콘크리트공</v>
          </cell>
        </row>
        <row r="1055">
          <cell r="A1055" t="str">
            <v>최선호</v>
          </cell>
          <cell r="B1055" t="str">
            <v>강원 원주 치악로 1568번길 40</v>
          </cell>
          <cell r="C1055" t="str">
            <v>570223-1397220</v>
          </cell>
          <cell r="D1055" t="str">
            <v>010-8294-5819</v>
          </cell>
          <cell r="E1055">
            <v>260000</v>
          </cell>
          <cell r="F1055" t="str">
            <v>남</v>
          </cell>
          <cell r="G1055">
            <v>70</v>
          </cell>
          <cell r="H1055" t="str">
            <v>-</v>
          </cell>
          <cell r="J1055" t="str">
            <v>타설</v>
          </cell>
          <cell r="K1055" t="str">
            <v>정운수</v>
          </cell>
          <cell r="R1055">
            <v>46013</v>
          </cell>
          <cell r="S1055">
            <v>46013</v>
          </cell>
          <cell r="T1055">
            <v>46013</v>
          </cell>
          <cell r="V1055" t="str">
            <v>콘크리트공</v>
          </cell>
        </row>
        <row r="1056">
          <cell r="A1056" t="str">
            <v>전규식</v>
          </cell>
          <cell r="B1056" t="str">
            <v>충북 제천시 용두대로1길 13-2</v>
          </cell>
          <cell r="C1056" t="str">
            <v>730811-1244912</v>
          </cell>
          <cell r="D1056" t="str">
            <v>010-9700-1555</v>
          </cell>
          <cell r="E1056">
            <v>260000</v>
          </cell>
          <cell r="F1056" t="str">
            <v>남</v>
          </cell>
          <cell r="G1056">
            <v>54</v>
          </cell>
          <cell r="H1056" t="str">
            <v>-</v>
          </cell>
          <cell r="J1056" t="str">
            <v>타설</v>
          </cell>
          <cell r="K1056" t="str">
            <v>정운수</v>
          </cell>
          <cell r="L1056" t="str">
            <v>131-011-589696</v>
          </cell>
          <cell r="M1056" t="str">
            <v>신협</v>
          </cell>
          <cell r="N1056" t="str">
            <v>전규식</v>
          </cell>
          <cell r="O1056">
            <v>42228</v>
          </cell>
          <cell r="R1056">
            <v>46013</v>
          </cell>
          <cell r="S1056">
            <v>46013</v>
          </cell>
          <cell r="T1056">
            <v>46013</v>
          </cell>
          <cell r="V1056" t="str">
            <v>콘크리트공</v>
          </cell>
        </row>
        <row r="1057">
          <cell r="A1057" t="str">
            <v>김성철콘</v>
          </cell>
          <cell r="B1057" t="str">
            <v>부산 기장군 정관읍 정관4로 23,116-404</v>
          </cell>
          <cell r="C1057" t="str">
            <v>901228-5120066</v>
          </cell>
          <cell r="D1057" t="str">
            <v>010-8207-6437</v>
          </cell>
          <cell r="E1057">
            <v>260000</v>
          </cell>
          <cell r="F1057" t="str">
            <v>남</v>
          </cell>
          <cell r="G1057">
            <v>37</v>
          </cell>
          <cell r="H1057" t="str">
            <v>외국인</v>
          </cell>
          <cell r="I1057" t="str">
            <v>KIM SEN CHER</v>
          </cell>
          <cell r="J1057" t="str">
            <v>타설</v>
          </cell>
          <cell r="K1057" t="str">
            <v>정운수</v>
          </cell>
          <cell r="O1057">
            <v>44943</v>
          </cell>
          <cell r="P1057" t="str">
            <v>재외동포F4</v>
          </cell>
          <cell r="Q1057">
            <v>46318</v>
          </cell>
          <cell r="R1057">
            <v>46013</v>
          </cell>
          <cell r="S1057">
            <v>46013</v>
          </cell>
          <cell r="T1057">
            <v>46013</v>
          </cell>
          <cell r="V1057" t="str">
            <v>콘크리트공</v>
          </cell>
          <cell r="W1057" t="str">
            <v>러시아</v>
          </cell>
        </row>
        <row r="1058">
          <cell r="A1058" t="str">
            <v>강데니스</v>
          </cell>
          <cell r="B1058" t="str">
            <v>충북 제천시 내제로수길 22-1 101호</v>
          </cell>
          <cell r="C1058" t="str">
            <v>800426-5340018</v>
          </cell>
          <cell r="D1058" t="str">
            <v>010-3469-2827</v>
          </cell>
          <cell r="E1058">
            <v>260000</v>
          </cell>
          <cell r="F1058" t="str">
            <v>남</v>
          </cell>
          <cell r="G1058">
            <v>47</v>
          </cell>
          <cell r="H1058" t="str">
            <v>외국인</v>
          </cell>
          <cell r="I1058" t="str">
            <v>KAN DENIS</v>
          </cell>
          <cell r="J1058" t="str">
            <v>타설</v>
          </cell>
          <cell r="K1058" t="str">
            <v>정운수</v>
          </cell>
          <cell r="O1058">
            <v>43349</v>
          </cell>
          <cell r="P1058" t="str">
            <v>재외동포F4</v>
          </cell>
          <cell r="Q1058">
            <v>46462</v>
          </cell>
          <cell r="R1058">
            <v>46013</v>
          </cell>
          <cell r="S1058">
            <v>46013</v>
          </cell>
          <cell r="T1058">
            <v>46013</v>
          </cell>
          <cell r="V1058" t="str">
            <v>콘크리트공</v>
          </cell>
          <cell r="W1058" t="str">
            <v>러시아</v>
          </cell>
        </row>
        <row r="1059">
          <cell r="A1059" t="str">
            <v>강성옥</v>
          </cell>
          <cell r="B1059" t="str">
            <v>강원 원주 흥양로 98, 2-312</v>
          </cell>
          <cell r="C1059" t="str">
            <v>770710-1408710</v>
          </cell>
          <cell r="D1059" t="str">
            <v>010-8732-2129</v>
          </cell>
          <cell r="E1059">
            <v>260000</v>
          </cell>
          <cell r="F1059" t="str">
            <v>남</v>
          </cell>
          <cell r="G1059">
            <v>50</v>
          </cell>
          <cell r="H1059" t="str">
            <v>-</v>
          </cell>
          <cell r="J1059" t="str">
            <v>타설</v>
          </cell>
          <cell r="K1059" t="str">
            <v>정운수</v>
          </cell>
          <cell r="L1059" t="str">
            <v>302-1839-9014-51</v>
          </cell>
          <cell r="M1059" t="str">
            <v>농협은행</v>
          </cell>
          <cell r="N1059" t="str">
            <v>강성옥</v>
          </cell>
          <cell r="O1059">
            <v>43187</v>
          </cell>
          <cell r="R1059">
            <v>46015</v>
          </cell>
          <cell r="S1059">
            <v>46015</v>
          </cell>
          <cell r="T1059">
            <v>46015</v>
          </cell>
          <cell r="V1059" t="str">
            <v>콘크리트공</v>
          </cell>
        </row>
        <row r="1060">
          <cell r="A1060" t="str">
            <v>박득천</v>
          </cell>
          <cell r="B1060" t="str">
            <v>경기 파주 문산읍 독서울1길39, 311-902</v>
          </cell>
          <cell r="C1060" t="str">
            <v>580110-1178314</v>
          </cell>
          <cell r="D1060" t="str">
            <v>010-3662-7336</v>
          </cell>
          <cell r="E1060">
            <v>260000</v>
          </cell>
          <cell r="F1060" t="str">
            <v>남</v>
          </cell>
          <cell r="G1060">
            <v>69</v>
          </cell>
          <cell r="H1060" t="str">
            <v>-</v>
          </cell>
          <cell r="J1060" t="str">
            <v>타설</v>
          </cell>
          <cell r="K1060" t="str">
            <v>정운수</v>
          </cell>
          <cell r="L1060" t="str">
            <v>473601-04-181498</v>
          </cell>
          <cell r="M1060" t="str">
            <v>국민은행</v>
          </cell>
          <cell r="N1060" t="str">
            <v>박득천</v>
          </cell>
          <cell r="O1060">
            <v>41292</v>
          </cell>
          <cell r="R1060">
            <v>46015</v>
          </cell>
          <cell r="S1060">
            <v>46015</v>
          </cell>
          <cell r="T1060">
            <v>46015</v>
          </cell>
          <cell r="V1060" t="str">
            <v>콘크리트공</v>
          </cell>
        </row>
        <row r="1061">
          <cell r="A1061" t="str">
            <v>김동수</v>
          </cell>
          <cell r="B1061" t="str">
            <v>경기 부천 오정구 까치로95번길14-17</v>
          </cell>
          <cell r="C1061" t="str">
            <v>710626-1659313</v>
          </cell>
          <cell r="D1061" t="str">
            <v>010-3704-2616</v>
          </cell>
          <cell r="E1061">
            <v>260000</v>
          </cell>
          <cell r="F1061" t="str">
            <v>남</v>
          </cell>
          <cell r="G1061">
            <v>56</v>
          </cell>
          <cell r="H1061" t="str">
            <v>-</v>
          </cell>
          <cell r="J1061" t="str">
            <v>타설</v>
          </cell>
          <cell r="K1061" t="str">
            <v>정운수</v>
          </cell>
          <cell r="L1061" t="str">
            <v>352-1600-0818-03</v>
          </cell>
          <cell r="M1061" t="str">
            <v>농협은행</v>
          </cell>
          <cell r="N1061" t="str">
            <v>김동수</v>
          </cell>
          <cell r="O1061">
            <v>41828</v>
          </cell>
          <cell r="R1061">
            <v>46016</v>
          </cell>
          <cell r="S1061">
            <v>46016</v>
          </cell>
          <cell r="T1061">
            <v>46016</v>
          </cell>
          <cell r="V1061" t="str">
            <v>콘크리트공</v>
          </cell>
        </row>
        <row r="1062">
          <cell r="A1062" t="str">
            <v>노대홍</v>
          </cell>
          <cell r="B1062" t="str">
            <v>전남 영암군 서호면 선사주거로349-3,201</v>
          </cell>
          <cell r="C1062" t="str">
            <v>710215-1650921</v>
          </cell>
          <cell r="D1062" t="str">
            <v>010-4929-6155</v>
          </cell>
          <cell r="E1062">
            <v>260000</v>
          </cell>
          <cell r="F1062" t="str">
            <v>남</v>
          </cell>
          <cell r="G1062">
            <v>56</v>
          </cell>
          <cell r="H1062" t="str">
            <v>-</v>
          </cell>
          <cell r="J1062" t="str">
            <v>타설</v>
          </cell>
          <cell r="K1062" t="str">
            <v>정운수</v>
          </cell>
          <cell r="L1062" t="str">
            <v>352-0689-9952-13</v>
          </cell>
          <cell r="M1062" t="str">
            <v>농협은행</v>
          </cell>
          <cell r="N1062" t="str">
            <v>노대홍</v>
          </cell>
          <cell r="O1062">
            <v>41747</v>
          </cell>
          <cell r="R1062">
            <v>46016</v>
          </cell>
          <cell r="S1062">
            <v>46016</v>
          </cell>
          <cell r="T1062">
            <v>46016</v>
          </cell>
          <cell r="V1062" t="str">
            <v>콘크리트공</v>
          </cell>
        </row>
        <row r="1063">
          <cell r="A1063" t="str">
            <v>서정훈</v>
          </cell>
          <cell r="B1063" t="str">
            <v>강원 원주 치악로 1524번길,20-7</v>
          </cell>
          <cell r="C1063" t="str">
            <v>710119-1898910</v>
          </cell>
          <cell r="D1063" t="str">
            <v>010-5084-7324</v>
          </cell>
          <cell r="E1063">
            <v>260000</v>
          </cell>
          <cell r="F1063" t="str">
            <v>남</v>
          </cell>
          <cell r="G1063">
            <v>56</v>
          </cell>
          <cell r="H1063" t="str">
            <v>-</v>
          </cell>
          <cell r="J1063" t="str">
            <v>타설</v>
          </cell>
          <cell r="K1063" t="str">
            <v>정운수</v>
          </cell>
          <cell r="O1063">
            <v>41817</v>
          </cell>
          <cell r="R1063">
            <v>46016</v>
          </cell>
          <cell r="S1063">
            <v>46016</v>
          </cell>
          <cell r="T1063">
            <v>46016</v>
          </cell>
          <cell r="V1063" t="str">
            <v>콘크리트공</v>
          </cell>
        </row>
        <row r="1064">
          <cell r="A1064" t="str">
            <v>강성실</v>
          </cell>
          <cell r="B1064" t="str">
            <v>경기 부천 삼작로410번길78,가-501</v>
          </cell>
          <cell r="C1064" t="str">
            <v>680729-1662117</v>
          </cell>
          <cell r="D1064" t="str">
            <v>010-3245-7337</v>
          </cell>
          <cell r="E1064">
            <v>260000</v>
          </cell>
          <cell r="F1064" t="str">
            <v>남</v>
          </cell>
          <cell r="G1064">
            <v>59</v>
          </cell>
          <cell r="H1064" t="str">
            <v>-</v>
          </cell>
          <cell r="J1064" t="str">
            <v>타설</v>
          </cell>
          <cell r="K1064" t="str">
            <v>정운수</v>
          </cell>
          <cell r="L1064" t="str">
            <v>616701-01-663840</v>
          </cell>
          <cell r="M1064" t="str">
            <v>국민은행</v>
          </cell>
          <cell r="N1064" t="str">
            <v>강성실</v>
          </cell>
          <cell r="O1064">
            <v>44287</v>
          </cell>
          <cell r="R1064">
            <v>46020</v>
          </cell>
          <cell r="S1064">
            <v>46020</v>
          </cell>
          <cell r="T1064">
            <v>46020</v>
          </cell>
          <cell r="V1064" t="str">
            <v>콘크리트공</v>
          </cell>
        </row>
        <row r="1065">
          <cell r="A1065" t="str">
            <v>윤상순</v>
          </cell>
          <cell r="B1065" t="str">
            <v>충북 충주 동량면 조동2길 77-6</v>
          </cell>
          <cell r="C1065" t="str">
            <v>690302-1396532</v>
          </cell>
          <cell r="D1065" t="str">
            <v>010-8486-6925</v>
          </cell>
          <cell r="E1065">
            <v>260000</v>
          </cell>
          <cell r="F1065" t="str">
            <v>남</v>
          </cell>
          <cell r="G1065">
            <v>58</v>
          </cell>
          <cell r="H1065" t="str">
            <v>-</v>
          </cell>
          <cell r="J1065" t="str">
            <v>타설</v>
          </cell>
          <cell r="K1065" t="str">
            <v>정운수</v>
          </cell>
          <cell r="O1065">
            <v>42159</v>
          </cell>
          <cell r="R1065">
            <v>46020</v>
          </cell>
          <cell r="S1065">
            <v>46020</v>
          </cell>
          <cell r="T1065">
            <v>46020</v>
          </cell>
          <cell r="V1065" t="str">
            <v>콘크리트공</v>
          </cell>
        </row>
        <row r="1066">
          <cell r="A1066" t="str">
            <v>장금지</v>
          </cell>
          <cell r="B1066" t="str">
            <v>서울 금천구 독산로36길 53-2, 101호</v>
          </cell>
          <cell r="C1066" t="str">
            <v>681011-6920045</v>
          </cell>
          <cell r="D1066" t="str">
            <v>010-2970-2878</v>
          </cell>
          <cell r="E1066">
            <v>260000</v>
          </cell>
          <cell r="F1066" t="str">
            <v>여</v>
          </cell>
          <cell r="G1066">
            <v>59</v>
          </cell>
          <cell r="H1066" t="str">
            <v>외국인</v>
          </cell>
          <cell r="I1066" t="str">
            <v>ZHANG JINZHI</v>
          </cell>
          <cell r="J1066" t="str">
            <v>타설</v>
          </cell>
          <cell r="K1066" t="str">
            <v>정운수</v>
          </cell>
          <cell r="O1066">
            <v>43258</v>
          </cell>
          <cell r="Q1066" t="str">
            <v/>
          </cell>
          <cell r="R1066">
            <v>46027</v>
          </cell>
          <cell r="S1066">
            <v>46027</v>
          </cell>
          <cell r="T1066">
            <v>46027</v>
          </cell>
          <cell r="V1066" t="str">
            <v>콘크리트공</v>
          </cell>
          <cell r="W1066" t="str">
            <v>중국</v>
          </cell>
        </row>
        <row r="1067">
          <cell r="A1067" t="str">
            <v>박명숙</v>
          </cell>
          <cell r="B1067" t="str">
            <v>서울 구로구 도림로3길 42, 301호</v>
          </cell>
          <cell r="C1067" t="str">
            <v>690307-6140591</v>
          </cell>
          <cell r="D1067" t="str">
            <v>010-5708-1668</v>
          </cell>
          <cell r="E1067">
            <v>260000</v>
          </cell>
          <cell r="F1067" t="str">
            <v>여</v>
          </cell>
          <cell r="G1067">
            <v>58</v>
          </cell>
          <cell r="H1067" t="str">
            <v>외국인</v>
          </cell>
          <cell r="I1067" t="str">
            <v>PIAO MINGSHU</v>
          </cell>
          <cell r="J1067" t="str">
            <v>비계</v>
          </cell>
          <cell r="K1067" t="str">
            <v>정운수</v>
          </cell>
          <cell r="L1067" t="str">
            <v>213-910366-91807</v>
          </cell>
          <cell r="M1067" t="str">
            <v>하나은행</v>
          </cell>
          <cell r="N1067" t="str">
            <v>박명숙</v>
          </cell>
          <cell r="O1067">
            <v>45034</v>
          </cell>
          <cell r="P1067" t="str">
            <v>방문취업H2</v>
          </cell>
          <cell r="Q1067">
            <v>47006</v>
          </cell>
          <cell r="R1067">
            <v>46041</v>
          </cell>
          <cell r="S1067">
            <v>46041</v>
          </cell>
          <cell r="T1067">
            <v>46041</v>
          </cell>
          <cell r="V1067" t="str">
            <v>콘크리트공</v>
          </cell>
          <cell r="W1067" t="str">
            <v>중국</v>
          </cell>
        </row>
        <row r="1068">
          <cell r="A1068" t="str">
            <v>김윤명</v>
          </cell>
          <cell r="B1068" t="str">
            <v>서울 강남구 언주로 21,14-311</v>
          </cell>
          <cell r="C1068" t="str">
            <v>601115-1017919</v>
          </cell>
          <cell r="D1068" t="str">
            <v>010-8905-5200</v>
          </cell>
          <cell r="E1068">
            <v>260000</v>
          </cell>
          <cell r="F1068" t="str">
            <v>남</v>
          </cell>
          <cell r="G1068">
            <v>67</v>
          </cell>
          <cell r="H1068" t="str">
            <v>-</v>
          </cell>
          <cell r="J1068" t="str">
            <v>타설</v>
          </cell>
          <cell r="K1068" t="str">
            <v>정운수</v>
          </cell>
          <cell r="L1068" t="str">
            <v>352-0155-2705-83</v>
          </cell>
          <cell r="M1068" t="str">
            <v>농협은행</v>
          </cell>
          <cell r="N1068" t="str">
            <v>김윤명</v>
          </cell>
          <cell r="O1068">
            <v>43335</v>
          </cell>
          <cell r="Q1068" t="str">
            <v/>
          </cell>
          <cell r="R1068">
            <v>46057</v>
          </cell>
          <cell r="S1068">
            <v>46057</v>
          </cell>
          <cell r="T1068">
            <v>46057</v>
          </cell>
          <cell r="V1068" t="str">
            <v>콘크리트공</v>
          </cell>
        </row>
        <row r="1069">
          <cell r="A1069" t="str">
            <v>안균식</v>
          </cell>
          <cell r="B1069" t="str">
            <v>강원 원주 남원로 612번길19-3</v>
          </cell>
          <cell r="C1069" t="str">
            <v>830528-1340116</v>
          </cell>
          <cell r="D1069" t="str">
            <v>010-8269-9186</v>
          </cell>
          <cell r="E1069">
            <v>260000</v>
          </cell>
          <cell r="F1069" t="str">
            <v>남</v>
          </cell>
          <cell r="G1069">
            <v>44</v>
          </cell>
          <cell r="H1069" t="str">
            <v>-</v>
          </cell>
          <cell r="J1069" t="str">
            <v>타설</v>
          </cell>
          <cell r="K1069" t="str">
            <v>정운수</v>
          </cell>
          <cell r="L1069" t="str">
            <v>302-1710-6545-71</v>
          </cell>
          <cell r="M1069" t="str">
            <v>농협은행</v>
          </cell>
          <cell r="N1069" t="str">
            <v>안균식</v>
          </cell>
          <cell r="O1069">
            <v>41614</v>
          </cell>
          <cell r="Q1069" t="str">
            <v/>
          </cell>
          <cell r="R1069">
            <v>46057</v>
          </cell>
          <cell r="S1069">
            <v>46057</v>
          </cell>
          <cell r="T1069">
            <v>46057</v>
          </cell>
          <cell r="V1069" t="str">
            <v>콘크리트공</v>
          </cell>
        </row>
        <row r="1070">
          <cell r="A1070" t="str">
            <v>안재호</v>
          </cell>
          <cell r="B1070" t="str">
            <v>충북 제천시 영천동 445</v>
          </cell>
          <cell r="C1070" t="str">
            <v>680705-1635111</v>
          </cell>
          <cell r="D1070" t="str">
            <v>010-2079-0662</v>
          </cell>
          <cell r="E1070">
            <v>260000</v>
          </cell>
          <cell r="F1070" t="str">
            <v>남</v>
          </cell>
          <cell r="G1070">
            <v>59</v>
          </cell>
          <cell r="H1070" t="str">
            <v>-</v>
          </cell>
          <cell r="J1070" t="str">
            <v>비계</v>
          </cell>
          <cell r="K1070" t="str">
            <v>정운수</v>
          </cell>
          <cell r="O1070">
            <v>41555</v>
          </cell>
          <cell r="Q1070" t="str">
            <v/>
          </cell>
          <cell r="R1070">
            <v>46060</v>
          </cell>
          <cell r="S1070">
            <v>46060</v>
          </cell>
          <cell r="T1070">
            <v>46060</v>
          </cell>
          <cell r="V1070" t="str">
            <v>콘크리트공</v>
          </cell>
        </row>
        <row r="1071">
          <cell r="A1071" t="str">
            <v>김용수</v>
          </cell>
          <cell r="B1071" t="str">
            <v>서울 동대문구 외대역동로14,105-501</v>
          </cell>
          <cell r="C1071" t="str">
            <v>550326-1538015</v>
          </cell>
          <cell r="D1071" t="str">
            <v>010-2213-3609</v>
          </cell>
          <cell r="E1071">
            <v>260000</v>
          </cell>
          <cell r="F1071" t="str">
            <v>남</v>
          </cell>
          <cell r="G1071">
            <v>72</v>
          </cell>
          <cell r="H1071" t="str">
            <v>-</v>
          </cell>
          <cell r="J1071" t="str">
            <v>타설</v>
          </cell>
          <cell r="K1071" t="str">
            <v>정운수</v>
          </cell>
          <cell r="O1071">
            <v>41555</v>
          </cell>
          <cell r="R1071">
            <v>46062</v>
          </cell>
          <cell r="S1071">
            <v>46062</v>
          </cell>
          <cell r="T1071">
            <v>46062</v>
          </cell>
          <cell r="V1071" t="str">
            <v>콘크리트공</v>
          </cell>
        </row>
        <row r="1072">
          <cell r="A1072" t="str">
            <v>박경수</v>
          </cell>
          <cell r="B1072" t="str">
            <v>충북 제천시 내토로27길 21-1,2-201</v>
          </cell>
          <cell r="C1072" t="str">
            <v>690515-1641410</v>
          </cell>
          <cell r="D1072" t="str">
            <v>010-5532-3351</v>
          </cell>
          <cell r="E1072">
            <v>260000</v>
          </cell>
          <cell r="F1072" t="str">
            <v>남</v>
          </cell>
          <cell r="G1072">
            <v>58</v>
          </cell>
          <cell r="H1072" t="str">
            <v>-</v>
          </cell>
          <cell r="J1072" t="str">
            <v>타설</v>
          </cell>
          <cell r="K1072" t="str">
            <v>정운수</v>
          </cell>
          <cell r="O1072">
            <v>41709</v>
          </cell>
          <cell r="R1072">
            <v>46062</v>
          </cell>
          <cell r="S1072">
            <v>46062</v>
          </cell>
          <cell r="T1072">
            <v>46062</v>
          </cell>
          <cell r="V1072" t="str">
            <v>콘크리트공</v>
          </cell>
        </row>
        <row r="1073">
          <cell r="A1073" t="str">
            <v>박문호</v>
          </cell>
          <cell r="B1073" t="str">
            <v>충북 제천시 의림대로42-1,102호</v>
          </cell>
          <cell r="C1073" t="str">
            <v>741229-1398737</v>
          </cell>
          <cell r="D1073" t="str">
            <v>010-4231-7201</v>
          </cell>
          <cell r="E1073">
            <v>260000</v>
          </cell>
          <cell r="F1073" t="str">
            <v>남</v>
          </cell>
          <cell r="G1073">
            <v>53</v>
          </cell>
          <cell r="H1073" t="str">
            <v>-</v>
          </cell>
          <cell r="J1073" t="str">
            <v>타설</v>
          </cell>
          <cell r="K1073" t="str">
            <v>정운수</v>
          </cell>
          <cell r="O1073" t="str">
            <v>2013-</v>
          </cell>
          <cell r="Q1073" t="str">
            <v/>
          </cell>
          <cell r="R1073">
            <v>46062</v>
          </cell>
          <cell r="S1073">
            <v>46062</v>
          </cell>
          <cell r="T1073">
            <v>46062</v>
          </cell>
          <cell r="V1073" t="str">
            <v>콘크리트공</v>
          </cell>
        </row>
        <row r="1074">
          <cell r="A1074" t="str">
            <v>이재호</v>
          </cell>
          <cell r="B1074" t="str">
            <v>충북 제천시 의림대로 25안길</v>
          </cell>
          <cell r="C1074" t="str">
            <v>740615-1333311</v>
          </cell>
          <cell r="D1074" t="str">
            <v>010-6222-4726</v>
          </cell>
          <cell r="E1074">
            <v>260000</v>
          </cell>
          <cell r="F1074" t="str">
            <v>남</v>
          </cell>
          <cell r="G1074">
            <v>53</v>
          </cell>
          <cell r="H1074" t="str">
            <v>-</v>
          </cell>
          <cell r="J1074" t="str">
            <v>타설</v>
          </cell>
          <cell r="K1074" t="str">
            <v>정운수</v>
          </cell>
          <cell r="O1074">
            <v>41845</v>
          </cell>
          <cell r="Q1074" t="str">
            <v/>
          </cell>
          <cell r="R1074">
            <v>46062</v>
          </cell>
          <cell r="S1074">
            <v>46062</v>
          </cell>
          <cell r="T1074">
            <v>46062</v>
          </cell>
          <cell r="V1074" t="str">
            <v>콘크리트공</v>
          </cell>
        </row>
        <row r="1075">
          <cell r="A1075" t="str">
            <v>한위</v>
          </cell>
          <cell r="B1075" t="str">
            <v>원주시 태장4동 403-1405</v>
          </cell>
          <cell r="C1075" t="str">
            <v>801105-5280016</v>
          </cell>
          <cell r="D1075" t="str">
            <v>010-7319-2899</v>
          </cell>
          <cell r="E1075">
            <v>260000</v>
          </cell>
          <cell r="F1075" t="str">
            <v>남</v>
          </cell>
          <cell r="G1075">
            <v>47</v>
          </cell>
          <cell r="H1075" t="str">
            <v>외국인</v>
          </cell>
          <cell r="I1075" t="str">
            <v>HAN YU</v>
          </cell>
          <cell r="J1075" t="str">
            <v>타설</v>
          </cell>
          <cell r="K1075" t="str">
            <v>정운수</v>
          </cell>
          <cell r="O1075">
            <v>43864</v>
          </cell>
          <cell r="P1075" t="str">
            <v>결혼이민F6</v>
          </cell>
          <cell r="Q1075">
            <v>46341</v>
          </cell>
          <cell r="R1075">
            <v>46085</v>
          </cell>
          <cell r="S1075">
            <v>46062</v>
          </cell>
          <cell r="T1075">
            <v>46062</v>
          </cell>
          <cell r="V1075" t="str">
            <v>콘크리트공</v>
          </cell>
          <cell r="W1075" t="str">
            <v>중국</v>
          </cell>
        </row>
        <row r="1076">
          <cell r="A1076" t="str">
            <v>박정민</v>
          </cell>
          <cell r="B1076" t="str">
            <v>강원 인제군 기린면 현리 695-1</v>
          </cell>
          <cell r="C1076" t="str">
            <v>690117-1340524</v>
          </cell>
          <cell r="D1076" t="str">
            <v>010-4613-5072</v>
          </cell>
          <cell r="E1076">
            <v>260000</v>
          </cell>
          <cell r="F1076" t="str">
            <v>남</v>
          </cell>
          <cell r="G1076">
            <v>58</v>
          </cell>
          <cell r="H1076" t="str">
            <v>-</v>
          </cell>
          <cell r="J1076" t="str">
            <v>타설</v>
          </cell>
          <cell r="K1076" t="str">
            <v>정운수</v>
          </cell>
          <cell r="L1076" t="str">
            <v>325048-52-089384</v>
          </cell>
          <cell r="M1076" t="str">
            <v>농협은행</v>
          </cell>
          <cell r="N1076" t="str">
            <v>박정민</v>
          </cell>
          <cell r="O1076">
            <v>41913</v>
          </cell>
          <cell r="R1076">
            <v>46101</v>
          </cell>
          <cell r="S1076">
            <v>46101</v>
          </cell>
          <cell r="T1076">
            <v>46101</v>
          </cell>
          <cell r="V1076" t="str">
            <v>콘크리트공</v>
          </cell>
        </row>
        <row r="1077">
          <cell r="A1077" t="str">
            <v>이해룡</v>
          </cell>
          <cell r="B1077" t="str">
            <v>서울 금천구 남부순환로108길 16,203</v>
          </cell>
          <cell r="C1077" t="str">
            <v>821030-5820033</v>
          </cell>
          <cell r="D1077" t="str">
            <v>010-2562-5988</v>
          </cell>
          <cell r="E1077">
            <v>260000</v>
          </cell>
          <cell r="F1077" t="str">
            <v>남</v>
          </cell>
          <cell r="G1077">
            <v>45</v>
          </cell>
          <cell r="H1077" t="str">
            <v>외국인</v>
          </cell>
          <cell r="I1077" t="str">
            <v>LIHAILONG</v>
          </cell>
          <cell r="J1077" t="str">
            <v>타설</v>
          </cell>
          <cell r="K1077" t="str">
            <v>정운수</v>
          </cell>
          <cell r="L1077" t="str">
            <v>356-1670-7174-83</v>
          </cell>
          <cell r="M1077" t="str">
            <v>농협은행</v>
          </cell>
          <cell r="N1077" t="str">
            <v>LI HAILONG</v>
          </cell>
          <cell r="O1077">
            <v>42654</v>
          </cell>
          <cell r="P1077" t="str">
            <v>재외동포F4</v>
          </cell>
          <cell r="Q1077">
            <v>46780</v>
          </cell>
          <cell r="R1077">
            <v>46111</v>
          </cell>
          <cell r="S1077">
            <v>46111</v>
          </cell>
          <cell r="T1077">
            <v>46111</v>
          </cell>
          <cell r="V1077" t="str">
            <v>콘크리트공</v>
          </cell>
          <cell r="W1077" t="str">
            <v>중국</v>
          </cell>
        </row>
        <row r="1078">
          <cell r="A1078" t="str">
            <v>심재훈</v>
          </cell>
          <cell r="B1078" t="str">
            <v>전남 영광 영광읍 옥당로 115-78, 301-1401</v>
          </cell>
          <cell r="C1078" t="str">
            <v>000706-3659311</v>
          </cell>
          <cell r="D1078" t="str">
            <v>010-6444-0054</v>
          </cell>
          <cell r="E1078">
            <v>260000</v>
          </cell>
          <cell r="F1078" t="str">
            <v>남</v>
          </cell>
          <cell r="G1078">
            <v>27</v>
          </cell>
          <cell r="H1078" t="str">
            <v>-</v>
          </cell>
          <cell r="J1078" t="str">
            <v>타설</v>
          </cell>
          <cell r="K1078" t="str">
            <v>정운수</v>
          </cell>
          <cell r="L1078" t="str">
            <v>944502-00-621231</v>
          </cell>
          <cell r="M1078" t="str">
            <v>국민은행</v>
          </cell>
          <cell r="N1078" t="str">
            <v>심재훈</v>
          </cell>
          <cell r="O1078">
            <v>46091</v>
          </cell>
          <cell r="R1078">
            <v>46120</v>
          </cell>
          <cell r="S1078">
            <v>46120</v>
          </cell>
          <cell r="T1078">
            <v>46120</v>
          </cell>
          <cell r="V1078" t="str">
            <v>콘크리트공</v>
          </cell>
        </row>
        <row r="1079">
          <cell r="A1079" t="str">
            <v>김영호</v>
          </cell>
          <cell r="B1079" t="str">
            <v>서울 구로구 구로동로35가길 19-41,201호</v>
          </cell>
          <cell r="C1079" t="str">
            <v>691104-5102893</v>
          </cell>
          <cell r="D1079" t="str">
            <v>010-7219-6566</v>
          </cell>
          <cell r="E1079">
            <v>260000</v>
          </cell>
          <cell r="F1079" t="str">
            <v>남</v>
          </cell>
          <cell r="G1079">
            <v>58</v>
          </cell>
          <cell r="H1079" t="str">
            <v>외국인</v>
          </cell>
          <cell r="I1079" t="str">
            <v>JIN YONGHAO</v>
          </cell>
          <cell r="J1079" t="str">
            <v>타설</v>
          </cell>
          <cell r="K1079" t="str">
            <v>정운수</v>
          </cell>
          <cell r="O1079">
            <v>42930</v>
          </cell>
          <cell r="Q1079">
            <v>46301</v>
          </cell>
          <cell r="R1079">
            <v>46146</v>
          </cell>
          <cell r="S1079">
            <v>46146</v>
          </cell>
          <cell r="T1079">
            <v>46146</v>
          </cell>
          <cell r="V1079" t="str">
            <v>콘크리트공</v>
          </cell>
          <cell r="W1079" t="str">
            <v>중국</v>
          </cell>
        </row>
        <row r="1080">
          <cell r="A1080" t="str">
            <v>반산하</v>
          </cell>
          <cell r="B1080" t="str">
            <v>서울 구로구 구로중앙로8길 17-11</v>
          </cell>
          <cell r="C1080" t="str">
            <v>691205-5141695</v>
          </cell>
          <cell r="D1080" t="str">
            <v>010-6333-6309</v>
          </cell>
          <cell r="E1080">
            <v>260000</v>
          </cell>
          <cell r="F1080" t="str">
            <v>남</v>
          </cell>
          <cell r="G1080">
            <v>58</v>
          </cell>
          <cell r="H1080" t="str">
            <v>외국인</v>
          </cell>
          <cell r="I1080" t="str">
            <v>PAN SHANHE</v>
          </cell>
          <cell r="J1080" t="str">
            <v>타설</v>
          </cell>
          <cell r="K1080" t="str">
            <v>정운수</v>
          </cell>
          <cell r="L1080" t="str">
            <v>489701-01-698727</v>
          </cell>
          <cell r="M1080" t="str">
            <v>국민은행</v>
          </cell>
          <cell r="N1080" t="str">
            <v>PAN SHANHE</v>
          </cell>
          <cell r="O1080">
            <v>43665</v>
          </cell>
          <cell r="Q1080">
            <v>46551</v>
          </cell>
          <cell r="R1080">
            <v>46146</v>
          </cell>
          <cell r="S1080">
            <v>46146</v>
          </cell>
          <cell r="T1080">
            <v>46146</v>
          </cell>
          <cell r="V1080" t="str">
            <v>콘크리트공</v>
          </cell>
          <cell r="W1080" t="str">
            <v>중국</v>
          </cell>
        </row>
        <row r="1081">
          <cell r="A1081" t="str">
            <v>김근우</v>
          </cell>
          <cell r="B1081" t="str">
            <v>서울 강동구 성안로31라길 16-3, 102호</v>
          </cell>
          <cell r="C1081" t="str">
            <v>681010-1457336</v>
          </cell>
          <cell r="D1081" t="str">
            <v>010-8908-7733</v>
          </cell>
          <cell r="E1081">
            <v>260000</v>
          </cell>
          <cell r="F1081" t="str">
            <v>남</v>
          </cell>
          <cell r="G1081">
            <v>59</v>
          </cell>
          <cell r="H1081" t="str">
            <v>-</v>
          </cell>
          <cell r="J1081" t="str">
            <v>비계</v>
          </cell>
          <cell r="K1081" t="str">
            <v>정운수</v>
          </cell>
          <cell r="O1081">
            <v>41225</v>
          </cell>
          <cell r="R1081">
            <v>46151</v>
          </cell>
          <cell r="S1081">
            <v>46151</v>
          </cell>
          <cell r="T1081">
            <v>46151</v>
          </cell>
          <cell r="V1081" t="str">
            <v>콘크리트공</v>
          </cell>
        </row>
        <row r="1082">
          <cell r="A1082" t="str">
            <v>정승준</v>
          </cell>
          <cell r="B1082" t="str">
            <v>부산 부산진구 범천동 1080</v>
          </cell>
          <cell r="C1082" t="str">
            <v>630509-1111022</v>
          </cell>
          <cell r="D1082" t="str">
            <v>010-8486-2197</v>
          </cell>
          <cell r="E1082">
            <v>260000</v>
          </cell>
          <cell r="F1082" t="str">
            <v>남</v>
          </cell>
          <cell r="G1082">
            <v>64</v>
          </cell>
          <cell r="H1082" t="str">
            <v>-</v>
          </cell>
          <cell r="J1082" t="str">
            <v>비계</v>
          </cell>
          <cell r="K1082" t="str">
            <v>정운수</v>
          </cell>
          <cell r="L1082" t="str">
            <v>132-108-475233</v>
          </cell>
          <cell r="M1082" t="str">
            <v>신용협동조합</v>
          </cell>
          <cell r="N1082" t="str">
            <v>정승준</v>
          </cell>
          <cell r="O1082">
            <v>43174</v>
          </cell>
          <cell r="R1082">
            <v>46151</v>
          </cell>
          <cell r="S1082">
            <v>46151</v>
          </cell>
          <cell r="T1082">
            <v>46151</v>
          </cell>
          <cell r="V1082" t="str">
            <v>콘크리트공</v>
          </cell>
        </row>
        <row r="1083">
          <cell r="A1083" t="str">
            <v>방철</v>
          </cell>
          <cell r="B1083" t="str">
            <v>인천 마추홀구 한나루로 502번길 63,502호</v>
          </cell>
          <cell r="C1083" t="str">
            <v>710214-5300896</v>
          </cell>
          <cell r="D1083" t="str">
            <v>010-5519-9790</v>
          </cell>
          <cell r="E1083">
            <v>260000</v>
          </cell>
          <cell r="F1083" t="str">
            <v>남</v>
          </cell>
          <cell r="G1083">
            <v>56</v>
          </cell>
          <cell r="H1083" t="str">
            <v>외국인</v>
          </cell>
          <cell r="J1083" t="str">
            <v>타설</v>
          </cell>
          <cell r="K1083" t="str">
            <v>정운수</v>
          </cell>
          <cell r="O1083">
            <v>43002</v>
          </cell>
          <cell r="P1083" t="str">
            <v>영주F5</v>
          </cell>
          <cell r="Q1083">
            <v>47444</v>
          </cell>
          <cell r="R1083">
            <v>46202</v>
          </cell>
          <cell r="S1083">
            <v>46202</v>
          </cell>
          <cell r="T1083">
            <v>46202</v>
          </cell>
          <cell r="V1083" t="str">
            <v>콘크리트공</v>
          </cell>
          <cell r="W1083" t="str">
            <v>중국</v>
          </cell>
        </row>
        <row r="1084">
          <cell r="A1084" t="str">
            <v>신철봉</v>
          </cell>
          <cell r="B1084" t="str">
            <v>서울 금천구 벚꽃로 48길12,옥탑</v>
          </cell>
          <cell r="C1084" t="str">
            <v>880320-5140057</v>
          </cell>
          <cell r="D1084" t="str">
            <v>010-5551-0558</v>
          </cell>
          <cell r="E1084">
            <v>260000</v>
          </cell>
          <cell r="F1084" t="str">
            <v>남</v>
          </cell>
          <cell r="G1084">
            <v>39</v>
          </cell>
          <cell r="H1084" t="str">
            <v>외국인</v>
          </cell>
          <cell r="J1084" t="str">
            <v>타설</v>
          </cell>
          <cell r="K1084" t="str">
            <v>정운수</v>
          </cell>
          <cell r="O1084">
            <v>41631</v>
          </cell>
          <cell r="P1084" t="str">
            <v>방문취업H2</v>
          </cell>
          <cell r="Q1084">
            <v>46247</v>
          </cell>
          <cell r="R1084">
            <v>46202</v>
          </cell>
          <cell r="S1084">
            <v>46202</v>
          </cell>
          <cell r="T1084">
            <v>46202</v>
          </cell>
          <cell r="V1084" t="str">
            <v>콘크리트공</v>
          </cell>
          <cell r="W1084" t="str">
            <v>중국</v>
          </cell>
        </row>
        <row r="1085">
          <cell r="A1085" t="str">
            <v>강영석</v>
          </cell>
          <cell r="B1085" t="str">
            <v>서울 구로구 우마2길 54</v>
          </cell>
          <cell r="C1085" t="str">
            <v>681207-5102497</v>
          </cell>
          <cell r="D1085" t="str">
            <v>010-9176-8608</v>
          </cell>
          <cell r="E1085">
            <v>260000</v>
          </cell>
          <cell r="F1085" t="str">
            <v>남</v>
          </cell>
          <cell r="G1085">
            <v>59</v>
          </cell>
          <cell r="H1085" t="str">
            <v>외국인</v>
          </cell>
          <cell r="I1085" t="str">
            <v>KANG YONGSHI</v>
          </cell>
          <cell r="J1085" t="str">
            <v>타설</v>
          </cell>
          <cell r="K1085" t="str">
            <v>정운수</v>
          </cell>
          <cell r="O1085">
            <v>41124</v>
          </cell>
          <cell r="P1085" t="str">
            <v>영주F5</v>
          </cell>
          <cell r="Q1085">
            <v>49317</v>
          </cell>
          <cell r="R1085">
            <v>46203</v>
          </cell>
          <cell r="S1085">
            <v>46203</v>
          </cell>
          <cell r="T1085">
            <v>46203</v>
          </cell>
          <cell r="V1085" t="str">
            <v>콘크리트공</v>
          </cell>
          <cell r="W1085" t="str">
            <v>중국</v>
          </cell>
        </row>
        <row r="1086">
          <cell r="A1086" t="str">
            <v>김권익</v>
          </cell>
          <cell r="B1086" t="str">
            <v>경기 시흥 군서로18번길 38,201호</v>
          </cell>
          <cell r="C1086" t="str">
            <v>910526-5820012</v>
          </cell>
          <cell r="D1086" t="str">
            <v>010-8243-1991</v>
          </cell>
          <cell r="E1086">
            <v>260000</v>
          </cell>
          <cell r="F1086" t="str">
            <v>남</v>
          </cell>
          <cell r="G1086">
            <v>36</v>
          </cell>
          <cell r="H1086" t="str">
            <v>외국인</v>
          </cell>
          <cell r="I1086" t="str">
            <v>JIN QUANYI</v>
          </cell>
          <cell r="J1086" t="str">
            <v>타설</v>
          </cell>
          <cell r="K1086" t="str">
            <v>정운수</v>
          </cell>
          <cell r="O1086">
            <v>42753</v>
          </cell>
          <cell r="P1086" t="str">
            <v>영주F5</v>
          </cell>
          <cell r="Q1086">
            <v>48234</v>
          </cell>
          <cell r="R1086">
            <v>46204</v>
          </cell>
          <cell r="S1086">
            <v>46204</v>
          </cell>
          <cell r="T1086">
            <v>46204</v>
          </cell>
          <cell r="V1086" t="str">
            <v>콘크리트공</v>
          </cell>
          <cell r="W1086" t="str">
            <v>중국</v>
          </cell>
        </row>
        <row r="1087">
          <cell r="A1087" t="str">
            <v>이민호</v>
          </cell>
          <cell r="B1087" t="str">
            <v>강원 원주 흥향로51번길16, 304-105</v>
          </cell>
          <cell r="C1087" t="str">
            <v>720709-1326210</v>
          </cell>
          <cell r="D1087" t="str">
            <v>010-6377-4623</v>
          </cell>
          <cell r="E1087">
            <v>260000</v>
          </cell>
          <cell r="F1087" t="str">
            <v>남</v>
          </cell>
          <cell r="G1087">
            <v>55</v>
          </cell>
          <cell r="H1087" t="str">
            <v>-</v>
          </cell>
          <cell r="J1087" t="str">
            <v>타설</v>
          </cell>
          <cell r="K1087" t="str">
            <v>정운수</v>
          </cell>
          <cell r="O1087">
            <v>41437</v>
          </cell>
          <cell r="R1087">
            <v>46216</v>
          </cell>
          <cell r="S1087">
            <v>46216</v>
          </cell>
          <cell r="T1087">
            <v>46216</v>
          </cell>
          <cell r="V1087" t="str">
            <v>콘크리트공</v>
          </cell>
        </row>
        <row r="1088">
          <cell r="A1088" t="str">
            <v>임동한</v>
          </cell>
          <cell r="B1088" t="str">
            <v>강원 원주 종각길 6-8, 2층</v>
          </cell>
          <cell r="C1088" t="str">
            <v>890313-1704328</v>
          </cell>
          <cell r="D1088" t="str">
            <v>010-2005-8566</v>
          </cell>
          <cell r="E1088">
            <v>260000</v>
          </cell>
          <cell r="F1088" t="str">
            <v>남</v>
          </cell>
          <cell r="G1088">
            <v>38</v>
          </cell>
          <cell r="H1088" t="str">
            <v>-</v>
          </cell>
          <cell r="J1088" t="str">
            <v>타설</v>
          </cell>
          <cell r="K1088" t="str">
            <v>정운수</v>
          </cell>
          <cell r="O1088">
            <v>45639</v>
          </cell>
          <cell r="R1088">
            <v>46216</v>
          </cell>
          <cell r="S1088">
            <v>46216</v>
          </cell>
          <cell r="T1088">
            <v>46216</v>
          </cell>
          <cell r="V1088" t="str">
            <v>콘크리트공</v>
          </cell>
        </row>
        <row r="1089">
          <cell r="F1089" t="str">
            <v/>
          </cell>
          <cell r="G1089" t="str">
            <v/>
          </cell>
          <cell r="H1089" t="str">
            <v/>
          </cell>
          <cell r="Q1089" t="str">
            <v/>
          </cell>
        </row>
        <row r="1090">
          <cell r="F1090" t="str">
            <v/>
          </cell>
          <cell r="G1090" t="str">
            <v/>
          </cell>
          <cell r="H1090" t="str">
            <v/>
          </cell>
          <cell r="Q1090" t="str">
            <v/>
          </cell>
        </row>
        <row r="1091">
          <cell r="F1091" t="str">
            <v/>
          </cell>
          <cell r="G1091" t="str">
            <v/>
          </cell>
          <cell r="H1091" t="str">
            <v/>
          </cell>
          <cell r="Q1091" t="str">
            <v/>
          </cell>
        </row>
        <row r="1092">
          <cell r="A1092" t="str">
            <v>우마르</v>
          </cell>
          <cell r="B1092" t="str">
            <v>충북 청주시 흥덕구 1순환로622번지 42, 205</v>
          </cell>
          <cell r="C1092" t="str">
            <v>010621-7340109</v>
          </cell>
          <cell r="D1092" t="str">
            <v>010-2321-0551</v>
          </cell>
          <cell r="E1092">
            <v>260000</v>
          </cell>
          <cell r="F1092" t="str">
            <v>남</v>
          </cell>
          <cell r="G1092">
            <v>26</v>
          </cell>
          <cell r="H1092" t="str">
            <v>외국인</v>
          </cell>
          <cell r="I1092" t="str">
            <v>MEIMANALY UULU UMAR</v>
          </cell>
          <cell r="J1092" t="str">
            <v>타설</v>
          </cell>
          <cell r="K1092" t="str">
            <v>정운수</v>
          </cell>
          <cell r="O1092">
            <v>45882</v>
          </cell>
          <cell r="P1092" t="str">
            <v>기타G1</v>
          </cell>
          <cell r="Q1092">
            <v>46166</v>
          </cell>
          <cell r="R1092">
            <v>46041</v>
          </cell>
          <cell r="S1092">
            <v>46041</v>
          </cell>
          <cell r="T1092">
            <v>46041</v>
          </cell>
          <cell r="V1092" t="str">
            <v>콘크리트공</v>
          </cell>
          <cell r="W1092" t="str">
            <v>키르기스스탄</v>
          </cell>
        </row>
        <row r="1093">
          <cell r="A1093" t="str">
            <v>에르네스</v>
          </cell>
          <cell r="C1093" t="str">
            <v>011123-5</v>
          </cell>
          <cell r="E1093">
            <v>260000</v>
          </cell>
          <cell r="F1093" t="str">
            <v>남</v>
          </cell>
          <cell r="G1093">
            <v>26</v>
          </cell>
          <cell r="H1093" t="str">
            <v>외국인</v>
          </cell>
          <cell r="I1093" t="str">
            <v>SATYBALDYEV ERNES NURLANBEKOVICH</v>
          </cell>
          <cell r="J1093" t="str">
            <v>타설</v>
          </cell>
          <cell r="K1093" t="str">
            <v>정운수</v>
          </cell>
          <cell r="O1093">
            <v>45491</v>
          </cell>
          <cell r="R1093">
            <v>45958</v>
          </cell>
          <cell r="S1093">
            <v>45958</v>
          </cell>
          <cell r="T1093">
            <v>45958</v>
          </cell>
          <cell r="U1093" t="str">
            <v>PE0171106</v>
          </cell>
          <cell r="V1093" t="str">
            <v>콘크리트공</v>
          </cell>
          <cell r="W1093" t="str">
            <v>키르기스스탄</v>
          </cell>
        </row>
        <row r="1094">
          <cell r="A1094" t="str">
            <v>틴치티크베크</v>
          </cell>
          <cell r="C1094" t="str">
            <v>870226-5</v>
          </cell>
          <cell r="D1094" t="str">
            <v>010-2839-9262</v>
          </cell>
          <cell r="E1094">
            <v>260000</v>
          </cell>
          <cell r="F1094" t="str">
            <v>남</v>
          </cell>
          <cell r="G1094">
            <v>40</v>
          </cell>
          <cell r="H1094" t="str">
            <v>외국인</v>
          </cell>
          <cell r="I1094" t="str">
            <v>GULATOV TYNCHTYKBEK</v>
          </cell>
          <cell r="J1094" t="str">
            <v>타설</v>
          </cell>
          <cell r="K1094" t="str">
            <v>정운수</v>
          </cell>
          <cell r="O1094">
            <v>45425</v>
          </cell>
          <cell r="R1094">
            <v>46041</v>
          </cell>
          <cell r="S1094">
            <v>46041</v>
          </cell>
          <cell r="T1094">
            <v>46041</v>
          </cell>
          <cell r="U1094">
            <v>765481528</v>
          </cell>
          <cell r="V1094" t="str">
            <v>콘크리트공</v>
          </cell>
          <cell r="W1094" t="str">
            <v>러시아</v>
          </cell>
        </row>
        <row r="1095">
          <cell r="A1095" t="str">
            <v>바하콘</v>
          </cell>
          <cell r="C1095" t="str">
            <v>841115-5</v>
          </cell>
          <cell r="D1095" t="str">
            <v>010-9845-7710</v>
          </cell>
          <cell r="E1095">
            <v>260000</v>
          </cell>
          <cell r="F1095" t="str">
            <v>남</v>
          </cell>
          <cell r="G1095">
            <v>43</v>
          </cell>
          <cell r="H1095" t="str">
            <v>외국인</v>
          </cell>
          <cell r="I1095" t="str">
            <v>TANAEV BAKHADYR</v>
          </cell>
          <cell r="J1095" t="str">
            <v>타설</v>
          </cell>
          <cell r="K1095" t="str">
            <v>정운수</v>
          </cell>
          <cell r="R1095">
            <v>46041</v>
          </cell>
          <cell r="S1095">
            <v>46041</v>
          </cell>
          <cell r="T1095">
            <v>46041</v>
          </cell>
          <cell r="U1095">
            <v>661011241</v>
          </cell>
          <cell r="V1095" t="str">
            <v>콘크리트공</v>
          </cell>
          <cell r="W1095" t="str">
            <v>러시아</v>
          </cell>
        </row>
        <row r="1096">
          <cell r="A1096" t="str">
            <v>지르갈텍</v>
          </cell>
          <cell r="C1096" t="str">
            <v>800717-5</v>
          </cell>
          <cell r="E1096">
            <v>260000</v>
          </cell>
          <cell r="F1096" t="str">
            <v>남</v>
          </cell>
          <cell r="G1096">
            <v>47</v>
          </cell>
          <cell r="H1096" t="str">
            <v>외국인</v>
          </cell>
          <cell r="I1096" t="str">
            <v>SAPARMATOV ZHYRGALBEK</v>
          </cell>
          <cell r="J1096" t="str">
            <v>타설</v>
          </cell>
          <cell r="K1096" t="str">
            <v>정운수</v>
          </cell>
          <cell r="O1096">
            <v>45646</v>
          </cell>
          <cell r="R1096">
            <v>46038</v>
          </cell>
          <cell r="S1096">
            <v>46038</v>
          </cell>
          <cell r="T1096">
            <v>46038</v>
          </cell>
          <cell r="U1096">
            <v>772096185</v>
          </cell>
          <cell r="V1096" t="str">
            <v>콘크리트공</v>
          </cell>
          <cell r="W1096" t="str">
            <v>러시아</v>
          </cell>
        </row>
        <row r="1097">
          <cell r="A1097" t="str">
            <v>벡투루손</v>
          </cell>
          <cell r="C1097" t="str">
            <v>001118-5</v>
          </cell>
          <cell r="E1097">
            <v>260000</v>
          </cell>
          <cell r="F1097" t="str">
            <v>남</v>
          </cell>
          <cell r="G1097">
            <v>27</v>
          </cell>
          <cell r="H1097" t="str">
            <v>외국인</v>
          </cell>
          <cell r="I1097" t="str">
            <v>KUBANYCHBEKOV BEKTURSUN</v>
          </cell>
          <cell r="J1097" t="str">
            <v>타설</v>
          </cell>
          <cell r="K1097" t="str">
            <v>정운수</v>
          </cell>
          <cell r="O1097">
            <v>45491</v>
          </cell>
          <cell r="R1097">
            <v>46013</v>
          </cell>
          <cell r="S1097">
            <v>46013</v>
          </cell>
          <cell r="T1097">
            <v>46013</v>
          </cell>
          <cell r="U1097" t="str">
            <v>PE0965993</v>
          </cell>
          <cell r="V1097" t="str">
            <v>콘크리트공</v>
          </cell>
          <cell r="W1097" t="str">
            <v>키르기스스탄</v>
          </cell>
        </row>
        <row r="1098">
          <cell r="A1098" t="str">
            <v>송해군</v>
          </cell>
          <cell r="C1098" t="str">
            <v>820906-5</v>
          </cell>
          <cell r="D1098" t="str">
            <v>010-2158-4918</v>
          </cell>
          <cell r="E1098">
            <v>260000</v>
          </cell>
          <cell r="F1098" t="str">
            <v>남</v>
          </cell>
          <cell r="G1098">
            <v>45</v>
          </cell>
          <cell r="H1098" t="str">
            <v>외국인</v>
          </cell>
          <cell r="I1098" t="str">
            <v>SONG HAIJUN</v>
          </cell>
          <cell r="J1098" t="str">
            <v>타설</v>
          </cell>
          <cell r="K1098" t="str">
            <v>정운수</v>
          </cell>
          <cell r="O1098">
            <v>44768</v>
          </cell>
          <cell r="R1098">
            <v>46204</v>
          </cell>
          <cell r="S1098">
            <v>46204</v>
          </cell>
          <cell r="T1098">
            <v>46204</v>
          </cell>
          <cell r="U1098" t="str">
            <v>EC0992466</v>
          </cell>
          <cell r="V1098" t="str">
            <v>콘크리트공</v>
          </cell>
          <cell r="W1098" t="str">
            <v>중국</v>
          </cell>
        </row>
        <row r="1099">
          <cell r="A1099" t="str">
            <v>여지초</v>
          </cell>
          <cell r="C1099" t="str">
            <v>790502-5</v>
          </cell>
          <cell r="D1099" t="str">
            <v>010-6520-3888</v>
          </cell>
          <cell r="E1099">
            <v>260000</v>
          </cell>
          <cell r="F1099" t="str">
            <v>남</v>
          </cell>
          <cell r="G1099">
            <v>48</v>
          </cell>
          <cell r="H1099" t="str">
            <v>외국인</v>
          </cell>
          <cell r="I1099" t="str">
            <v>LYU ZHICHAO</v>
          </cell>
          <cell r="J1099" t="str">
            <v>타설</v>
          </cell>
          <cell r="K1099" t="str">
            <v>정운수</v>
          </cell>
          <cell r="O1099">
            <v>44854</v>
          </cell>
          <cell r="R1099">
            <v>46204</v>
          </cell>
          <cell r="S1099">
            <v>46204</v>
          </cell>
          <cell r="T1099">
            <v>46204</v>
          </cell>
          <cell r="U1099" t="str">
            <v>E94624958</v>
          </cell>
          <cell r="V1099" t="str">
            <v>콘크리트공</v>
          </cell>
          <cell r="W1099" t="str">
            <v>중국</v>
          </cell>
        </row>
        <row r="1100">
          <cell r="A1100" t="str">
            <v>유경민</v>
          </cell>
          <cell r="D1100" t="str">
            <v>010-7458-3136</v>
          </cell>
          <cell r="E1100">
            <v>260000</v>
          </cell>
          <cell r="F1100" t="str">
            <v/>
          </cell>
          <cell r="G1100" t="str">
            <v/>
          </cell>
          <cell r="H1100" t="str">
            <v/>
          </cell>
          <cell r="I1100" t="str">
            <v>LIU JINGMIN</v>
          </cell>
          <cell r="J1100" t="str">
            <v>타설</v>
          </cell>
          <cell r="K1100" t="str">
            <v>정운수</v>
          </cell>
          <cell r="O1100">
            <v>43634</v>
          </cell>
          <cell r="Q1100" t="str">
            <v/>
          </cell>
          <cell r="S1100">
            <v>45912</v>
          </cell>
          <cell r="T1100">
            <v>45912</v>
          </cell>
          <cell r="U1100" t="str">
            <v>EC9383535</v>
          </cell>
          <cell r="V1100" t="str">
            <v>콘크리트공</v>
          </cell>
          <cell r="W1100" t="str">
            <v>중국</v>
          </cell>
        </row>
        <row r="1101">
          <cell r="A1101" t="str">
            <v>최건문</v>
          </cell>
          <cell r="D1101" t="str">
            <v>010-9505-5522</v>
          </cell>
          <cell r="E1101">
            <v>260000</v>
          </cell>
          <cell r="F1101" t="str">
            <v/>
          </cell>
          <cell r="G1101" t="str">
            <v/>
          </cell>
          <cell r="H1101" t="str">
            <v/>
          </cell>
          <cell r="I1101" t="str">
            <v>CUI JIANWEN</v>
          </cell>
          <cell r="J1101" t="str">
            <v>타설</v>
          </cell>
          <cell r="K1101" t="str">
            <v>정운수</v>
          </cell>
          <cell r="L1101" t="str">
            <v>135-910784-27307</v>
          </cell>
          <cell r="M1101" t="str">
            <v>하나은행</v>
          </cell>
          <cell r="N1101" t="str">
            <v>CUI JIANWEN</v>
          </cell>
          <cell r="O1101">
            <v>43657</v>
          </cell>
          <cell r="Q1101" t="str">
            <v/>
          </cell>
          <cell r="S1101">
            <v>45912</v>
          </cell>
          <cell r="T1101">
            <v>45912</v>
          </cell>
          <cell r="U1101" t="str">
            <v>EP4883937</v>
          </cell>
          <cell r="V1101" t="str">
            <v>콘크리트공</v>
          </cell>
          <cell r="W1101" t="str">
            <v>중국</v>
          </cell>
        </row>
        <row r="1102">
          <cell r="A1102" t="str">
            <v>왕유명</v>
          </cell>
          <cell r="D1102" t="str">
            <v>010-7202-5217</v>
          </cell>
          <cell r="E1102">
            <v>260000</v>
          </cell>
          <cell r="F1102" t="str">
            <v/>
          </cell>
          <cell r="G1102" t="str">
            <v/>
          </cell>
          <cell r="H1102" t="str">
            <v/>
          </cell>
          <cell r="I1102" t="str">
            <v>WANG LIUMING</v>
          </cell>
          <cell r="J1102" t="str">
            <v>타설</v>
          </cell>
          <cell r="K1102" t="str">
            <v>정운수</v>
          </cell>
          <cell r="O1102">
            <v>43671</v>
          </cell>
          <cell r="Q1102" t="str">
            <v/>
          </cell>
          <cell r="S1102">
            <v>45912</v>
          </cell>
          <cell r="T1102">
            <v>45912</v>
          </cell>
          <cell r="U1102" t="str">
            <v>EE2843270</v>
          </cell>
          <cell r="V1102" t="str">
            <v>콘크리트공</v>
          </cell>
          <cell r="W1102" t="str">
            <v>중국</v>
          </cell>
        </row>
        <row r="1103">
          <cell r="A1103" t="str">
            <v>장란향</v>
          </cell>
          <cell r="E1103">
            <v>260000</v>
          </cell>
          <cell r="F1103" t="str">
            <v/>
          </cell>
          <cell r="G1103" t="str">
            <v/>
          </cell>
          <cell r="H1103" t="str">
            <v/>
          </cell>
          <cell r="I1103" t="str">
            <v>ZHANG LANXIANG</v>
          </cell>
          <cell r="J1103" t="str">
            <v>타설</v>
          </cell>
          <cell r="K1103" t="str">
            <v>정운수</v>
          </cell>
          <cell r="O1103">
            <v>42907</v>
          </cell>
          <cell r="Q1103" t="str">
            <v/>
          </cell>
          <cell r="S1103">
            <v>45912</v>
          </cell>
          <cell r="T1103">
            <v>45912</v>
          </cell>
          <cell r="U1103" t="str">
            <v>E85662191</v>
          </cell>
          <cell r="V1103" t="str">
            <v>콘크리트공</v>
          </cell>
          <cell r="W1103" t="str">
            <v>중국</v>
          </cell>
        </row>
        <row r="1104">
          <cell r="A1104" t="str">
            <v>이대군</v>
          </cell>
          <cell r="D1104" t="str">
            <v>010-1394-2124</v>
          </cell>
          <cell r="E1104">
            <v>260000</v>
          </cell>
          <cell r="F1104" t="str">
            <v/>
          </cell>
          <cell r="G1104" t="str">
            <v/>
          </cell>
          <cell r="H1104" t="str">
            <v/>
          </cell>
          <cell r="I1104" t="str">
            <v>LI DAJUN</v>
          </cell>
          <cell r="J1104" t="str">
            <v>타설</v>
          </cell>
          <cell r="K1104" t="str">
            <v>정운수</v>
          </cell>
          <cell r="O1104">
            <v>41165</v>
          </cell>
          <cell r="Q1104" t="str">
            <v/>
          </cell>
          <cell r="S1104">
            <v>45912</v>
          </cell>
          <cell r="T1104">
            <v>45912</v>
          </cell>
          <cell r="U1104" t="str">
            <v>EB4923472</v>
          </cell>
          <cell r="V1104" t="str">
            <v>콘크리트공</v>
          </cell>
          <cell r="W1104" t="str">
            <v>중국</v>
          </cell>
        </row>
        <row r="1105">
          <cell r="A1105" t="str">
            <v>고소군</v>
          </cell>
          <cell r="B1105" t="str">
            <v>서울시 구로구 가리봉동82-58</v>
          </cell>
          <cell r="C1105" t="str">
            <v>820904-5</v>
          </cell>
          <cell r="D1105" t="str">
            <v>010-2677-3574</v>
          </cell>
          <cell r="E1105">
            <v>260000</v>
          </cell>
          <cell r="F1105" t="str">
            <v>남</v>
          </cell>
          <cell r="G1105">
            <v>45</v>
          </cell>
          <cell r="H1105" t="str">
            <v>외국인</v>
          </cell>
          <cell r="I1105" t="str">
            <v>GAO XIAOJUN</v>
          </cell>
          <cell r="J1105" t="str">
            <v>타설</v>
          </cell>
          <cell r="K1105" t="str">
            <v>정운수</v>
          </cell>
          <cell r="O1105">
            <v>43493</v>
          </cell>
          <cell r="Q1105" t="str">
            <v/>
          </cell>
          <cell r="S1105">
            <v>45918</v>
          </cell>
          <cell r="T1105">
            <v>45918</v>
          </cell>
          <cell r="U1105" t="str">
            <v>EA5304457</v>
          </cell>
          <cell r="V1105" t="str">
            <v>콘크리트공</v>
          </cell>
          <cell r="W1105" t="str">
            <v>중국</v>
          </cell>
        </row>
        <row r="1106">
          <cell r="A1106" t="str">
            <v>채국군</v>
          </cell>
          <cell r="B1106" t="str">
            <v>서울시 구로구 남부순환로 108</v>
          </cell>
          <cell r="C1106" t="str">
            <v>730220-5</v>
          </cell>
          <cell r="D1106" t="str">
            <v>010-8288-8333</v>
          </cell>
          <cell r="E1106">
            <v>260000</v>
          </cell>
          <cell r="F1106" t="str">
            <v>남</v>
          </cell>
          <cell r="G1106">
            <v>54</v>
          </cell>
          <cell r="H1106" t="str">
            <v>외국인</v>
          </cell>
          <cell r="I1106" t="str">
            <v>CAI GUOJUN</v>
          </cell>
          <cell r="J1106" t="str">
            <v>타설</v>
          </cell>
          <cell r="K1106" t="str">
            <v>정운수</v>
          </cell>
          <cell r="O1106">
            <v>45065</v>
          </cell>
          <cell r="Q1106" t="str">
            <v/>
          </cell>
          <cell r="R1106">
            <v>45945</v>
          </cell>
          <cell r="S1106">
            <v>45945</v>
          </cell>
          <cell r="T1106">
            <v>45945</v>
          </cell>
          <cell r="U1106" t="str">
            <v>EJ5847603</v>
          </cell>
          <cell r="V1106" t="str">
            <v>콘크리트공</v>
          </cell>
          <cell r="W1106" t="str">
            <v>중국</v>
          </cell>
        </row>
        <row r="1107">
          <cell r="A1107" t="str">
            <v>왕옥쿤</v>
          </cell>
          <cell r="C1107" t="str">
            <v>860322-5</v>
          </cell>
          <cell r="D1107" t="str">
            <v>010-8180-2666</v>
          </cell>
          <cell r="E1107">
            <v>260000</v>
          </cell>
          <cell r="F1107" t="str">
            <v>남</v>
          </cell>
          <cell r="G1107">
            <v>41</v>
          </cell>
          <cell r="H1107" t="str">
            <v>외국인</v>
          </cell>
          <cell r="I1107" t="str">
            <v>WANG YUKUN</v>
          </cell>
          <cell r="J1107" t="str">
            <v>타설</v>
          </cell>
          <cell r="K1107" t="str">
            <v>정운수</v>
          </cell>
          <cell r="O1107">
            <v>45430</v>
          </cell>
          <cell r="Q1107" t="str">
            <v/>
          </cell>
          <cell r="R1107">
            <v>45946</v>
          </cell>
          <cell r="S1107">
            <v>45946</v>
          </cell>
          <cell r="T1107">
            <v>45946</v>
          </cell>
          <cell r="U1107" t="str">
            <v>EK2728310</v>
          </cell>
          <cell r="V1107" t="str">
            <v>콘크리트공</v>
          </cell>
          <cell r="W1107" t="str">
            <v>중국</v>
          </cell>
        </row>
        <row r="1108">
          <cell r="A1108" t="str">
            <v>한장표</v>
          </cell>
          <cell r="B1108" t="str">
            <v>충남 천안시 동남구 먹거리8길 16-7,C동 205호</v>
          </cell>
          <cell r="C1108" t="str">
            <v>890519-5860053</v>
          </cell>
          <cell r="D1108" t="str">
            <v>010-8176-8999</v>
          </cell>
          <cell r="E1108">
            <v>260000</v>
          </cell>
          <cell r="F1108" t="str">
            <v>남</v>
          </cell>
          <cell r="G1108">
            <v>38</v>
          </cell>
          <cell r="H1108" t="str">
            <v>외국인</v>
          </cell>
          <cell r="I1108" t="str">
            <v>HAN JIANGBIAO</v>
          </cell>
          <cell r="J1108" t="str">
            <v>타설</v>
          </cell>
          <cell r="K1108" t="str">
            <v>정운수</v>
          </cell>
          <cell r="O1108">
            <v>43959</v>
          </cell>
          <cell r="P1108" t="str">
            <v>방문취업H2</v>
          </cell>
          <cell r="Q1108">
            <v>45639</v>
          </cell>
          <cell r="R1108">
            <v>45946</v>
          </cell>
          <cell r="S1108">
            <v>45946</v>
          </cell>
          <cell r="T1108">
            <v>45946</v>
          </cell>
          <cell r="V1108" t="str">
            <v>콘크리트공</v>
          </cell>
          <cell r="W1108" t="str">
            <v>중국</v>
          </cell>
        </row>
        <row r="1109">
          <cell r="A1109" t="str">
            <v>정기명</v>
          </cell>
          <cell r="B1109" t="str">
            <v>서울시 구로구 가리봉동 13</v>
          </cell>
          <cell r="C1109" t="str">
            <v>681125-5</v>
          </cell>
          <cell r="D1109" t="str">
            <v>010-9690-1968</v>
          </cell>
          <cell r="E1109">
            <v>260000</v>
          </cell>
          <cell r="F1109" t="str">
            <v>남</v>
          </cell>
          <cell r="G1109">
            <v>59</v>
          </cell>
          <cell r="H1109" t="str">
            <v>외국인</v>
          </cell>
          <cell r="I1109" t="str">
            <v>JING JIMING</v>
          </cell>
          <cell r="J1109" t="str">
            <v>타설</v>
          </cell>
          <cell r="K1109" t="str">
            <v>정운수</v>
          </cell>
          <cell r="O1109">
            <v>43634</v>
          </cell>
          <cell r="Q1109" t="str">
            <v/>
          </cell>
          <cell r="R1109">
            <v>45964</v>
          </cell>
          <cell r="S1109">
            <v>45964</v>
          </cell>
          <cell r="T1109">
            <v>45964</v>
          </cell>
          <cell r="U1109" t="str">
            <v>EN6423584</v>
          </cell>
          <cell r="V1109" t="str">
            <v>콘크리트공</v>
          </cell>
          <cell r="W1109" t="str">
            <v>중국</v>
          </cell>
        </row>
        <row r="1110">
          <cell r="A1110" t="str">
            <v>손화강</v>
          </cell>
          <cell r="C1110" t="str">
            <v>681112-5</v>
          </cell>
          <cell r="D1110" t="str">
            <v>010-2115-7341</v>
          </cell>
          <cell r="E1110">
            <v>260000</v>
          </cell>
          <cell r="F1110" t="str">
            <v>남</v>
          </cell>
          <cell r="G1110">
            <v>59</v>
          </cell>
          <cell r="H1110" t="str">
            <v>외국인</v>
          </cell>
          <cell r="I1110" t="str">
            <v>SUN HUAGANG</v>
          </cell>
          <cell r="J1110" t="str">
            <v>타설</v>
          </cell>
          <cell r="K1110" t="str">
            <v>정운수</v>
          </cell>
          <cell r="O1110">
            <v>43911</v>
          </cell>
          <cell r="Q1110" t="str">
            <v/>
          </cell>
          <cell r="R1110">
            <v>45971</v>
          </cell>
          <cell r="S1110">
            <v>45971</v>
          </cell>
          <cell r="T1110">
            <v>45971</v>
          </cell>
          <cell r="U1110" t="str">
            <v>E93905459</v>
          </cell>
          <cell r="V1110" t="str">
            <v>콘크리트공</v>
          </cell>
          <cell r="W1110" t="str">
            <v>중국</v>
          </cell>
        </row>
        <row r="1111">
          <cell r="A1111" t="str">
            <v>기영초</v>
          </cell>
          <cell r="B1111" t="str">
            <v>서울 금천구 가산동30</v>
          </cell>
          <cell r="C1111" t="str">
            <v>890827-6</v>
          </cell>
          <cell r="D1111" t="str">
            <v>010-9991-8097</v>
          </cell>
          <cell r="E1111">
            <v>260000</v>
          </cell>
          <cell r="F1111" t="str">
            <v>여</v>
          </cell>
          <cell r="G1111">
            <v>38</v>
          </cell>
          <cell r="H1111" t="str">
            <v>외국인</v>
          </cell>
          <cell r="I1111" t="str">
            <v>JI YONGCHAO</v>
          </cell>
          <cell r="J1111" t="str">
            <v>타설</v>
          </cell>
          <cell r="K1111" t="str">
            <v>정운수</v>
          </cell>
          <cell r="L1111" t="str">
            <v>213-910372-89207</v>
          </cell>
          <cell r="M1111" t="str">
            <v>하나은행</v>
          </cell>
          <cell r="N1111" t="str">
            <v>JI YONGCHAO</v>
          </cell>
          <cell r="O1111">
            <v>44805</v>
          </cell>
          <cell r="R1111">
            <v>45989</v>
          </cell>
          <cell r="S1111">
            <v>45989</v>
          </cell>
          <cell r="T1111">
            <v>45989</v>
          </cell>
          <cell r="U1111" t="str">
            <v>EK1295117</v>
          </cell>
          <cell r="V1111" t="str">
            <v>콘크리트공</v>
          </cell>
          <cell r="W1111" t="str">
            <v>중국</v>
          </cell>
        </row>
        <row r="1112">
          <cell r="A1112" t="str">
            <v>베카</v>
          </cell>
          <cell r="C1112" t="str">
            <v>920614-5</v>
          </cell>
          <cell r="D1112" t="str">
            <v>010-8089-5553</v>
          </cell>
          <cell r="E1112">
            <v>260000</v>
          </cell>
          <cell r="F1112" t="str">
            <v>남</v>
          </cell>
          <cell r="G1112">
            <v>35</v>
          </cell>
          <cell r="H1112" t="str">
            <v>외국인</v>
          </cell>
          <cell r="I1112" t="str">
            <v>DZHORDBAEV BEKNAZAR</v>
          </cell>
          <cell r="J1112" t="str">
            <v>타설</v>
          </cell>
          <cell r="K1112" t="str">
            <v>정운수</v>
          </cell>
          <cell r="O1112">
            <v>43494</v>
          </cell>
          <cell r="Q1112" t="str">
            <v/>
          </cell>
          <cell r="R1112">
            <v>45996</v>
          </cell>
          <cell r="S1112">
            <v>45996</v>
          </cell>
          <cell r="T1112">
            <v>45996</v>
          </cell>
          <cell r="U1112">
            <v>756590984</v>
          </cell>
          <cell r="V1112" t="str">
            <v>콘크리트공</v>
          </cell>
          <cell r="W1112" t="str">
            <v>러시아</v>
          </cell>
        </row>
        <row r="1113">
          <cell r="A1113" t="str">
            <v>호날두</v>
          </cell>
          <cell r="C1113" t="str">
            <v>041211-5</v>
          </cell>
          <cell r="D1113" t="str">
            <v>010-4306-2112</v>
          </cell>
          <cell r="E1113">
            <v>260000</v>
          </cell>
          <cell r="F1113" t="str">
            <v>남</v>
          </cell>
          <cell r="G1113">
            <v>23</v>
          </cell>
          <cell r="H1113" t="str">
            <v>외국인</v>
          </cell>
          <cell r="I1113" t="str">
            <v>TOLOGONOV RONALDO</v>
          </cell>
          <cell r="J1113" t="str">
            <v>타설</v>
          </cell>
          <cell r="K1113" t="str">
            <v>정운수</v>
          </cell>
          <cell r="O1113">
            <v>45486</v>
          </cell>
          <cell r="Q1113" t="str">
            <v/>
          </cell>
          <cell r="R1113">
            <v>45996</v>
          </cell>
          <cell r="S1113">
            <v>45996</v>
          </cell>
          <cell r="T1113">
            <v>45996</v>
          </cell>
          <cell r="U1113">
            <v>775495011</v>
          </cell>
          <cell r="V1113" t="str">
            <v>콘크리트공</v>
          </cell>
          <cell r="W1113" t="str">
            <v>러시아</v>
          </cell>
        </row>
        <row r="1114">
          <cell r="A1114" t="str">
            <v>루슬란</v>
          </cell>
          <cell r="B1114" t="str">
            <v>원주시 평원안길 64-18</v>
          </cell>
          <cell r="C1114" t="str">
            <v>860223-5</v>
          </cell>
          <cell r="D1114" t="str">
            <v>010-7616-2269</v>
          </cell>
          <cell r="E1114">
            <v>260000</v>
          </cell>
          <cell r="F1114" t="str">
            <v>남</v>
          </cell>
          <cell r="G1114">
            <v>41</v>
          </cell>
          <cell r="H1114" t="str">
            <v>외국인</v>
          </cell>
          <cell r="I1114" t="str">
            <v>GAIBULDAEV RUSLAN</v>
          </cell>
          <cell r="J1114" t="str">
            <v>비계</v>
          </cell>
          <cell r="K1114" t="str">
            <v>정운수</v>
          </cell>
          <cell r="O1114">
            <v>45155</v>
          </cell>
          <cell r="Q1114" t="str">
            <v/>
          </cell>
          <cell r="R1114">
            <v>45997</v>
          </cell>
          <cell r="S1114">
            <v>45997</v>
          </cell>
          <cell r="T1114">
            <v>45997</v>
          </cell>
          <cell r="U1114">
            <v>756840313</v>
          </cell>
          <cell r="V1114" t="str">
            <v>콘크리트공</v>
          </cell>
          <cell r="W1114" t="str">
            <v>러시아</v>
          </cell>
        </row>
        <row r="1115">
          <cell r="A1115" t="str">
            <v>누리슬람</v>
          </cell>
          <cell r="B1115" t="str">
            <v>원주시 평원안길 26-6</v>
          </cell>
          <cell r="C1115" t="str">
            <v>040522-5</v>
          </cell>
          <cell r="D1115" t="str">
            <v>010-6587-7667</v>
          </cell>
          <cell r="E1115">
            <v>260000</v>
          </cell>
          <cell r="F1115" t="str">
            <v>남</v>
          </cell>
          <cell r="G1115">
            <v>23</v>
          </cell>
          <cell r="H1115" t="str">
            <v>외국인</v>
          </cell>
          <cell r="I1115" t="str">
            <v>TOROBAEV NURISLAM</v>
          </cell>
          <cell r="J1115" t="str">
            <v>비계</v>
          </cell>
          <cell r="K1115" t="str">
            <v>정운수</v>
          </cell>
          <cell r="O1115">
            <v>44669</v>
          </cell>
          <cell r="Q1115" t="str">
            <v/>
          </cell>
          <cell r="R1115">
            <v>45999</v>
          </cell>
          <cell r="S1115">
            <v>45999</v>
          </cell>
          <cell r="T1115">
            <v>45999</v>
          </cell>
          <cell r="U1115">
            <v>664301433</v>
          </cell>
          <cell r="V1115" t="str">
            <v>콘크리트공</v>
          </cell>
          <cell r="W1115" t="str">
            <v>러시아</v>
          </cell>
        </row>
        <row r="1116">
          <cell r="A1116" t="str">
            <v>루스탐</v>
          </cell>
          <cell r="C1116" t="str">
            <v>851105-5</v>
          </cell>
          <cell r="D1116" t="str">
            <v>010-2795-9980</v>
          </cell>
          <cell r="E1116">
            <v>260000</v>
          </cell>
          <cell r="F1116" t="str">
            <v>남</v>
          </cell>
          <cell r="G1116">
            <v>42</v>
          </cell>
          <cell r="H1116" t="str">
            <v>외국인</v>
          </cell>
          <cell r="I1116" t="str">
            <v>AITALIEV RUSTAM</v>
          </cell>
          <cell r="J1116" t="str">
            <v>타설</v>
          </cell>
          <cell r="K1116" t="str">
            <v>정운수</v>
          </cell>
          <cell r="O1116">
            <v>43658</v>
          </cell>
          <cell r="R1116">
            <v>46006</v>
          </cell>
          <cell r="S1116">
            <v>46006</v>
          </cell>
          <cell r="T1116">
            <v>46006</v>
          </cell>
          <cell r="U1116" t="str">
            <v>AC3426948</v>
          </cell>
          <cell r="V1116" t="str">
            <v>콘크리트공</v>
          </cell>
          <cell r="W1116" t="str">
            <v>키르기스스탄</v>
          </cell>
        </row>
        <row r="1117">
          <cell r="A1117" t="str">
            <v>선라디</v>
          </cell>
          <cell r="C1117" t="str">
            <v>850606-5</v>
          </cell>
          <cell r="D1117" t="str">
            <v>010-2711-8797</v>
          </cell>
          <cell r="E1117">
            <v>260000</v>
          </cell>
          <cell r="F1117" t="str">
            <v>남</v>
          </cell>
          <cell r="G1117">
            <v>42</v>
          </cell>
          <cell r="H1117" t="str">
            <v>외국인</v>
          </cell>
          <cell r="I1117" t="str">
            <v>SUN RADY</v>
          </cell>
          <cell r="J1117" t="str">
            <v>타설</v>
          </cell>
          <cell r="K1117" t="str">
            <v>정운수</v>
          </cell>
          <cell r="O1117">
            <v>44997</v>
          </cell>
          <cell r="R1117">
            <v>46006</v>
          </cell>
          <cell r="S1117">
            <v>46006</v>
          </cell>
          <cell r="T1117">
            <v>46006</v>
          </cell>
          <cell r="U1117" t="str">
            <v>N00420784</v>
          </cell>
          <cell r="V1117" t="str">
            <v>콘크리트공</v>
          </cell>
          <cell r="W1117" t="str">
            <v>캄보디아</v>
          </cell>
        </row>
        <row r="1118">
          <cell r="A1118" t="str">
            <v>원순빈</v>
          </cell>
          <cell r="C1118" t="str">
            <v>680410-5</v>
          </cell>
          <cell r="D1118" t="str">
            <v>010-6651-3897</v>
          </cell>
          <cell r="E1118">
            <v>260000</v>
          </cell>
          <cell r="F1118" t="str">
            <v>남</v>
          </cell>
          <cell r="G1118">
            <v>59</v>
          </cell>
          <cell r="H1118" t="str">
            <v>외국인</v>
          </cell>
          <cell r="I1118" t="str">
            <v>YUAN, SHUNBIN</v>
          </cell>
          <cell r="J1118" t="str">
            <v>타설</v>
          </cell>
          <cell r="K1118" t="str">
            <v>정운수</v>
          </cell>
          <cell r="O1118">
            <v>43741</v>
          </cell>
          <cell r="R1118">
            <v>46064</v>
          </cell>
          <cell r="S1118">
            <v>46064</v>
          </cell>
          <cell r="T1118">
            <v>46064</v>
          </cell>
          <cell r="U1118" t="str">
            <v>EJ5074604</v>
          </cell>
          <cell r="V1118" t="str">
            <v>콘크리트공</v>
          </cell>
          <cell r="W1118" t="str">
            <v>중국</v>
          </cell>
        </row>
        <row r="1119">
          <cell r="A1119" t="str">
            <v>이전망</v>
          </cell>
          <cell r="C1119" t="str">
            <v>840909-5</v>
          </cell>
          <cell r="D1119" t="str">
            <v>010-6555-4639</v>
          </cell>
          <cell r="E1119">
            <v>260000</v>
          </cell>
          <cell r="F1119" t="str">
            <v>남</v>
          </cell>
          <cell r="G1119">
            <v>43</v>
          </cell>
          <cell r="H1119" t="str">
            <v>외국인</v>
          </cell>
          <cell r="I1119" t="str">
            <v>LI ZHANWANG</v>
          </cell>
          <cell r="J1119" t="str">
            <v>타설</v>
          </cell>
          <cell r="K1119" t="str">
            <v>정운수</v>
          </cell>
          <cell r="O1119">
            <v>42776</v>
          </cell>
          <cell r="R1119">
            <v>46064</v>
          </cell>
          <cell r="S1119">
            <v>46064</v>
          </cell>
          <cell r="T1119">
            <v>46064</v>
          </cell>
          <cell r="U1119" t="str">
            <v>EM1339325</v>
          </cell>
          <cell r="V1119" t="str">
            <v>콘크리트공</v>
          </cell>
          <cell r="W1119" t="str">
            <v>중국</v>
          </cell>
        </row>
        <row r="1120">
          <cell r="A1120" t="str">
            <v>임해강</v>
          </cell>
          <cell r="C1120" t="str">
            <v>700709-5</v>
          </cell>
          <cell r="D1120" t="str">
            <v>010-9744-0452</v>
          </cell>
          <cell r="E1120">
            <v>260000</v>
          </cell>
          <cell r="F1120" t="str">
            <v>남</v>
          </cell>
          <cell r="G1120">
            <v>57</v>
          </cell>
          <cell r="H1120" t="str">
            <v>외국인</v>
          </cell>
          <cell r="I1120" t="str">
            <v>LIN HAIGANG</v>
          </cell>
          <cell r="J1120" t="str">
            <v>타설</v>
          </cell>
          <cell r="K1120" t="str">
            <v>정운수</v>
          </cell>
          <cell r="O1120">
            <v>43571</v>
          </cell>
          <cell r="R1120">
            <v>46064</v>
          </cell>
          <cell r="S1120">
            <v>46064</v>
          </cell>
          <cell r="T1120">
            <v>46064</v>
          </cell>
          <cell r="U1120" t="str">
            <v>E75115113</v>
          </cell>
          <cell r="V1120" t="str">
            <v>콘크리트공</v>
          </cell>
          <cell r="W1120" t="str">
            <v>중국</v>
          </cell>
        </row>
        <row r="1121">
          <cell r="A1121" t="str">
            <v>이광호</v>
          </cell>
          <cell r="C1121" t="str">
            <v>830403-5100994</v>
          </cell>
          <cell r="D1121" t="str">
            <v>010-8088-8123</v>
          </cell>
          <cell r="E1121">
            <v>260000</v>
          </cell>
          <cell r="F1121" t="str">
            <v>남</v>
          </cell>
          <cell r="G1121">
            <v>44</v>
          </cell>
          <cell r="H1121" t="str">
            <v>외국인</v>
          </cell>
          <cell r="I1121" t="str">
            <v>LI GUANGHU</v>
          </cell>
          <cell r="J1121" t="str">
            <v>타설</v>
          </cell>
          <cell r="K1121" t="str">
            <v>정운수</v>
          </cell>
          <cell r="O1121">
            <v>42695</v>
          </cell>
          <cell r="P1121" t="str">
            <v>방문취업H2</v>
          </cell>
          <cell r="Q1121">
            <v>45921</v>
          </cell>
          <cell r="R1121">
            <v>46064</v>
          </cell>
          <cell r="S1121">
            <v>46064</v>
          </cell>
          <cell r="T1121">
            <v>46064</v>
          </cell>
          <cell r="V1121" t="str">
            <v>콘크리트공</v>
          </cell>
          <cell r="W1121" t="str">
            <v>중국</v>
          </cell>
        </row>
        <row r="1122">
          <cell r="A1122" t="str">
            <v>조전강</v>
          </cell>
          <cell r="C1122" t="str">
            <v>670316-5</v>
          </cell>
          <cell r="E1122">
            <v>260000</v>
          </cell>
          <cell r="F1122" t="str">
            <v>남</v>
          </cell>
          <cell r="G1122">
            <v>60</v>
          </cell>
          <cell r="H1122" t="str">
            <v>외국인</v>
          </cell>
          <cell r="I1122" t="str">
            <v>CAO QUANQIANG</v>
          </cell>
          <cell r="J1122" t="str">
            <v>타설</v>
          </cell>
          <cell r="K1122" t="str">
            <v>정운수</v>
          </cell>
          <cell r="L1122" t="str">
            <v>357-910689-24307</v>
          </cell>
          <cell r="M1122" t="str">
            <v>하나은행</v>
          </cell>
          <cell r="N1122" t="str">
            <v>CAO QUANQIANG</v>
          </cell>
          <cell r="O1122">
            <v>43605</v>
          </cell>
          <cell r="R1122">
            <v>46146</v>
          </cell>
          <cell r="S1122">
            <v>46146</v>
          </cell>
          <cell r="T1122">
            <v>46146</v>
          </cell>
          <cell r="U1122" t="str">
            <v>EB1610865</v>
          </cell>
          <cell r="V1122" t="str">
            <v>콘크리트공</v>
          </cell>
          <cell r="W1122" t="str">
            <v>중국</v>
          </cell>
        </row>
        <row r="1123">
          <cell r="A1123" t="str">
            <v>라마찬</v>
          </cell>
          <cell r="B1123" t="str">
            <v>강원 원주</v>
          </cell>
          <cell r="C1123" t="str">
            <v>990104-5</v>
          </cell>
          <cell r="D1123" t="str">
            <v>010-6887-4990</v>
          </cell>
          <cell r="E1123">
            <v>260000</v>
          </cell>
          <cell r="F1123" t="str">
            <v>남</v>
          </cell>
          <cell r="H1123" t="str">
            <v>외국인</v>
          </cell>
          <cell r="I1123" t="str">
            <v>TAIRZHANOV RAMAZAN</v>
          </cell>
          <cell r="J1123" t="str">
            <v>타설</v>
          </cell>
          <cell r="K1123" t="str">
            <v>정운수</v>
          </cell>
          <cell r="O1123">
            <v>45991</v>
          </cell>
          <cell r="R1123">
            <v>46178</v>
          </cell>
          <cell r="S1123">
            <v>46178</v>
          </cell>
          <cell r="T1123">
            <v>46178</v>
          </cell>
          <cell r="U1123">
            <v>517709591</v>
          </cell>
          <cell r="V1123" t="str">
            <v>콘크리트공</v>
          </cell>
          <cell r="W1123" t="str">
            <v>러시아</v>
          </cell>
        </row>
        <row r="1124">
          <cell r="A1124" t="str">
            <v>슈크라콘</v>
          </cell>
          <cell r="B1124" t="str">
            <v>원주시 원일로 172번지</v>
          </cell>
          <cell r="C1124" t="str">
            <v>980422-5</v>
          </cell>
          <cell r="D1124" t="str">
            <v>010-3021-0498</v>
          </cell>
          <cell r="E1124">
            <v>260000</v>
          </cell>
          <cell r="F1124" t="str">
            <v>남</v>
          </cell>
          <cell r="G1124">
            <v>29</v>
          </cell>
          <cell r="H1124" t="str">
            <v>외국인</v>
          </cell>
          <cell r="I1124" t="str">
            <v>MADAMINBEK UULU SHUKURALI</v>
          </cell>
          <cell r="J1124" t="str">
            <v>타설</v>
          </cell>
          <cell r="K1124" t="str">
            <v>정운수</v>
          </cell>
          <cell r="O1124">
            <v>45966</v>
          </cell>
          <cell r="R1124">
            <v>46192</v>
          </cell>
          <cell r="S1124">
            <v>46192</v>
          </cell>
          <cell r="T1124">
            <v>46192</v>
          </cell>
          <cell r="U1124" t="str">
            <v>PE1594542</v>
          </cell>
          <cell r="V1124" t="str">
            <v>콘크리트공</v>
          </cell>
          <cell r="W1124" t="str">
            <v>키르기스스탄</v>
          </cell>
        </row>
        <row r="1125">
          <cell r="A1125" t="str">
            <v>장리</v>
          </cell>
          <cell r="C1125" t="str">
            <v>790130-6</v>
          </cell>
          <cell r="D1125" t="str">
            <v>010-8065-1787</v>
          </cell>
          <cell r="E1125">
            <v>260000</v>
          </cell>
          <cell r="F1125" t="str">
            <v>여</v>
          </cell>
          <cell r="G1125">
            <v>48</v>
          </cell>
          <cell r="H1125" t="str">
            <v>외국인</v>
          </cell>
          <cell r="I1125" t="str">
            <v>ZHANG LI</v>
          </cell>
          <cell r="J1125" t="str">
            <v>타설</v>
          </cell>
          <cell r="K1125" t="str">
            <v>정운수</v>
          </cell>
          <cell r="O1125">
            <v>43631</v>
          </cell>
          <cell r="Q1125" t="str">
            <v/>
          </cell>
          <cell r="R1125">
            <v>46203</v>
          </cell>
          <cell r="S1125">
            <v>46203</v>
          </cell>
          <cell r="T1125">
            <v>46203</v>
          </cell>
          <cell r="U1125" t="str">
            <v>EM2932316</v>
          </cell>
          <cell r="V1125" t="str">
            <v>콘크리트공</v>
          </cell>
          <cell r="W1125" t="str">
            <v>중국</v>
          </cell>
        </row>
        <row r="1126">
          <cell r="F1126" t="str">
            <v/>
          </cell>
          <cell r="G1126" t="str">
            <v/>
          </cell>
          <cell r="H1126" t="str">
            <v/>
          </cell>
          <cell r="Q1126" t="str">
            <v/>
          </cell>
        </row>
        <row r="1127">
          <cell r="F1127" t="str">
            <v/>
          </cell>
          <cell r="G1127" t="str">
            <v/>
          </cell>
          <cell r="H1127" t="str">
            <v/>
          </cell>
          <cell r="Q1127" t="str">
            <v/>
          </cell>
        </row>
        <row r="1128">
          <cell r="F1128" t="str">
            <v/>
          </cell>
          <cell r="G1128" t="str">
            <v/>
          </cell>
          <cell r="H1128" t="str">
            <v/>
          </cell>
          <cell r="Q1128" t="str">
            <v/>
          </cell>
        </row>
        <row r="1129">
          <cell r="A1129" t="str">
            <v>펌프카</v>
          </cell>
          <cell r="F1129" t="str">
            <v/>
          </cell>
          <cell r="G1129" t="str">
            <v/>
          </cell>
          <cell r="H1129" t="str">
            <v/>
          </cell>
          <cell r="Q1129" t="str">
            <v/>
          </cell>
        </row>
        <row r="1130">
          <cell r="A1130" t="str">
            <v>최명주</v>
          </cell>
          <cell r="B1130" t="str">
            <v>서울시 구로구 가마산로27길34,702호,구로동</v>
          </cell>
          <cell r="C1130" t="str">
            <v>690925-1468425</v>
          </cell>
          <cell r="D1130" t="str">
            <v>010-5448-4665</v>
          </cell>
          <cell r="E1130">
            <v>260000</v>
          </cell>
          <cell r="F1130" t="str">
            <v>남</v>
          </cell>
          <cell r="G1130">
            <v>58</v>
          </cell>
          <cell r="H1130" t="str">
            <v>-</v>
          </cell>
          <cell r="J1130" t="str">
            <v>대우건기</v>
          </cell>
          <cell r="K1130" t="str">
            <v>이사</v>
          </cell>
          <cell r="L1130" t="str">
            <v>489701-01-522741</v>
          </cell>
          <cell r="M1130" t="str">
            <v>국민은행</v>
          </cell>
          <cell r="N1130" t="str">
            <v>최명주</v>
          </cell>
          <cell r="O1130" t="str">
            <v>2013.12.24</v>
          </cell>
          <cell r="Q1130" t="str">
            <v>2016.06.30</v>
          </cell>
          <cell r="S1130" t="str">
            <v>2022.03.16</v>
          </cell>
          <cell r="T1130">
            <v>44944</v>
          </cell>
          <cell r="U1130" t="str">
            <v>벤츠GLE</v>
          </cell>
          <cell r="V1130" t="str">
            <v>타설공</v>
          </cell>
          <cell r="W1130" t="str">
            <v>386보2779</v>
          </cell>
        </row>
        <row r="1131">
          <cell r="A1131" t="str">
            <v>최미도</v>
          </cell>
          <cell r="B1131" t="str">
            <v>인천 연수구 경원대로467번길 26-11</v>
          </cell>
          <cell r="C1131" t="str">
            <v>661024-1150014</v>
          </cell>
          <cell r="D1131" t="str">
            <v>010-7934-3760</v>
          </cell>
          <cell r="E1131">
            <v>1800000</v>
          </cell>
          <cell r="F1131" t="str">
            <v>남</v>
          </cell>
          <cell r="G1131">
            <v>61</v>
          </cell>
          <cell r="H1131" t="str">
            <v>-</v>
          </cell>
          <cell r="J1131" t="str">
            <v>펌프카65</v>
          </cell>
          <cell r="K1131" t="str">
            <v>대우건기</v>
          </cell>
          <cell r="O1131">
            <v>41621</v>
          </cell>
          <cell r="S1131">
            <v>45898</v>
          </cell>
          <cell r="T1131">
            <v>45898</v>
          </cell>
          <cell r="V1131" t="str">
            <v>건설기계운전원</v>
          </cell>
        </row>
        <row r="1132">
          <cell r="A1132" t="str">
            <v>오화진</v>
          </cell>
          <cell r="B1132" t="str">
            <v>시흥시 호현로103번길81,3-203</v>
          </cell>
          <cell r="C1132" t="str">
            <v>701020-1471814</v>
          </cell>
          <cell r="D1132" t="str">
            <v>010-5714-3521</v>
          </cell>
          <cell r="E1132">
            <v>1800000</v>
          </cell>
          <cell r="F1132" t="str">
            <v>남</v>
          </cell>
          <cell r="G1132">
            <v>57</v>
          </cell>
          <cell r="H1132" t="str">
            <v>-</v>
          </cell>
          <cell r="J1132" t="str">
            <v>펌프카65</v>
          </cell>
          <cell r="K1132" t="str">
            <v>대우건기</v>
          </cell>
          <cell r="O1132">
            <v>41570</v>
          </cell>
          <cell r="Q1132" t="str">
            <v/>
          </cell>
          <cell r="S1132">
            <v>45903</v>
          </cell>
          <cell r="T1132">
            <v>45903</v>
          </cell>
          <cell r="V1132" t="str">
            <v>건설기계운전원</v>
          </cell>
        </row>
        <row r="1133">
          <cell r="A1133" t="str">
            <v>정지억</v>
          </cell>
          <cell r="B1133" t="str">
            <v>원주시 단관공원길111,105-302</v>
          </cell>
          <cell r="C1133" t="str">
            <v>811006-1268117</v>
          </cell>
          <cell r="D1133" t="str">
            <v>010-4494-0251</v>
          </cell>
          <cell r="E1133">
            <v>1800000</v>
          </cell>
          <cell r="F1133" t="str">
            <v>남</v>
          </cell>
          <cell r="G1133">
            <v>46</v>
          </cell>
          <cell r="H1133" t="str">
            <v>-</v>
          </cell>
          <cell r="J1133" t="str">
            <v>펌프카65</v>
          </cell>
          <cell r="K1133" t="str">
            <v>영광중기</v>
          </cell>
          <cell r="O1133">
            <v>43363</v>
          </cell>
          <cell r="Q1133" t="str">
            <v/>
          </cell>
          <cell r="S1133">
            <v>45905</v>
          </cell>
          <cell r="T1133">
            <v>45905</v>
          </cell>
          <cell r="V1133" t="str">
            <v>건설기계운전원</v>
          </cell>
        </row>
        <row r="1134">
          <cell r="A1134" t="str">
            <v>이근학</v>
          </cell>
          <cell r="B1134" t="str">
            <v>서울시 도봉구 도봉로159길27</v>
          </cell>
          <cell r="C1134" t="str">
            <v>730122-1558819</v>
          </cell>
          <cell r="D1134" t="str">
            <v>010-3190-6006</v>
          </cell>
          <cell r="E1134">
            <v>1800000</v>
          </cell>
          <cell r="F1134" t="str">
            <v>남</v>
          </cell>
          <cell r="G1134">
            <v>54</v>
          </cell>
          <cell r="H1134" t="str">
            <v>-</v>
          </cell>
          <cell r="J1134" t="str">
            <v>펌프카63</v>
          </cell>
          <cell r="K1134" t="str">
            <v>영광중기</v>
          </cell>
          <cell r="O1134">
            <v>41394</v>
          </cell>
          <cell r="Q1134" t="str">
            <v/>
          </cell>
          <cell r="S1134">
            <v>45905</v>
          </cell>
          <cell r="T1134">
            <v>45905</v>
          </cell>
          <cell r="V1134" t="str">
            <v>건설기계운전원</v>
          </cell>
        </row>
        <row r="1135">
          <cell r="A1135" t="str">
            <v>김지후</v>
          </cell>
          <cell r="B1135" t="str">
            <v>인천시 서구 원당대로608번안길9-43</v>
          </cell>
          <cell r="C1135" t="str">
            <v>770815-1802813</v>
          </cell>
          <cell r="E1135">
            <v>1600000</v>
          </cell>
          <cell r="F1135" t="str">
            <v>남</v>
          </cell>
          <cell r="G1135">
            <v>50</v>
          </cell>
          <cell r="H1135" t="str">
            <v>-</v>
          </cell>
          <cell r="J1135" t="str">
            <v>펌프카42</v>
          </cell>
          <cell r="K1135" t="str">
            <v>영광중기</v>
          </cell>
          <cell r="O1135">
            <v>41306</v>
          </cell>
          <cell r="Q1135" t="str">
            <v/>
          </cell>
          <cell r="S1135">
            <v>45912</v>
          </cell>
          <cell r="T1135">
            <v>45912</v>
          </cell>
          <cell r="V1135" t="str">
            <v>건설기계운전원</v>
          </cell>
        </row>
        <row r="1136">
          <cell r="A1136" t="str">
            <v>박정순</v>
          </cell>
          <cell r="B1136" t="str">
            <v>남양주시 오남읍 양지로281번길16,104-301</v>
          </cell>
          <cell r="C1136" t="str">
            <v>780801-1397646</v>
          </cell>
          <cell r="D1136" t="str">
            <v>010-8941-5957</v>
          </cell>
          <cell r="E1136">
            <v>1200000</v>
          </cell>
          <cell r="F1136" t="str">
            <v>남</v>
          </cell>
          <cell r="G1136">
            <v>49</v>
          </cell>
          <cell r="H1136" t="str">
            <v>-</v>
          </cell>
          <cell r="J1136" t="str">
            <v>펌프카60</v>
          </cell>
          <cell r="K1136" t="str">
            <v>영광중기</v>
          </cell>
          <cell r="O1136">
            <v>42279</v>
          </cell>
          <cell r="Q1136" t="str">
            <v/>
          </cell>
          <cell r="S1136">
            <v>45912</v>
          </cell>
          <cell r="T1136">
            <v>45912</v>
          </cell>
          <cell r="V1136" t="str">
            <v>건설기계운전원</v>
          </cell>
        </row>
        <row r="1137">
          <cell r="A1137" t="str">
            <v>주교택</v>
          </cell>
          <cell r="B1137" t="str">
            <v>충남 예산군 예산읍 예산로137</v>
          </cell>
          <cell r="C1137" t="str">
            <v>690114-1466728</v>
          </cell>
          <cell r="D1137" t="str">
            <v>010-7722-6302</v>
          </cell>
          <cell r="E1137">
            <v>1800000</v>
          </cell>
          <cell r="F1137" t="str">
            <v>남</v>
          </cell>
          <cell r="G1137">
            <v>58</v>
          </cell>
          <cell r="H1137" t="str">
            <v>-</v>
          </cell>
          <cell r="J1137" t="str">
            <v>펌프카63</v>
          </cell>
          <cell r="K1137" t="str">
            <v>영광중기</v>
          </cell>
          <cell r="O1137">
            <v>41122</v>
          </cell>
          <cell r="Q1137" t="str">
            <v/>
          </cell>
          <cell r="S1137">
            <v>45918</v>
          </cell>
          <cell r="T1137">
            <v>45918</v>
          </cell>
          <cell r="V1137" t="str">
            <v>건설기계운전원</v>
          </cell>
        </row>
        <row r="1138">
          <cell r="A1138" t="str">
            <v>김태영</v>
          </cell>
          <cell r="B1138" t="str">
            <v>보령시 오천면 충청수영로369</v>
          </cell>
          <cell r="C1138" t="str">
            <v>690325-1462413</v>
          </cell>
          <cell r="D1138" t="str">
            <v>010-2304-1170</v>
          </cell>
          <cell r="E1138">
            <v>1800000</v>
          </cell>
          <cell r="F1138" t="str">
            <v>남</v>
          </cell>
          <cell r="G1138">
            <v>58</v>
          </cell>
          <cell r="H1138" t="str">
            <v>-</v>
          </cell>
          <cell r="J1138" t="str">
            <v>펌프카60</v>
          </cell>
          <cell r="K1138" t="str">
            <v>영광중기</v>
          </cell>
          <cell r="O1138">
            <v>41801</v>
          </cell>
          <cell r="Q1138" t="str">
            <v/>
          </cell>
          <cell r="S1138">
            <v>45923</v>
          </cell>
          <cell r="T1138">
            <v>45923</v>
          </cell>
          <cell r="V1138" t="str">
            <v>건설기계운전원</v>
          </cell>
        </row>
        <row r="1139">
          <cell r="A1139" t="str">
            <v>김장태</v>
          </cell>
          <cell r="B1139" t="str">
            <v>남양주시 평내로146,2007-405</v>
          </cell>
          <cell r="C1139" t="str">
            <v>741014-1057514</v>
          </cell>
          <cell r="D1139" t="str">
            <v>010-7125-8049</v>
          </cell>
          <cell r="E1139">
            <v>1800000</v>
          </cell>
          <cell r="F1139" t="str">
            <v>남</v>
          </cell>
          <cell r="G1139">
            <v>53</v>
          </cell>
          <cell r="H1139" t="str">
            <v>-</v>
          </cell>
          <cell r="J1139" t="str">
            <v>펌프카60</v>
          </cell>
          <cell r="K1139" t="str">
            <v>대우건기</v>
          </cell>
          <cell r="O1139">
            <v>41353</v>
          </cell>
          <cell r="Q1139" t="str">
            <v/>
          </cell>
          <cell r="S1139">
            <v>45925</v>
          </cell>
          <cell r="T1139">
            <v>45925</v>
          </cell>
          <cell r="V1139" t="str">
            <v>건설기계운전원</v>
          </cell>
        </row>
        <row r="1140">
          <cell r="A1140" t="str">
            <v>김성욱펌</v>
          </cell>
          <cell r="B1140" t="str">
            <v>서울시 은평구 가좌로241-18,201</v>
          </cell>
          <cell r="C1140" t="str">
            <v>770228-1042466</v>
          </cell>
          <cell r="D1140" t="str">
            <v>010-3673-6545</v>
          </cell>
          <cell r="E1140">
            <v>1800000</v>
          </cell>
          <cell r="F1140" t="str">
            <v>남</v>
          </cell>
          <cell r="G1140">
            <v>50</v>
          </cell>
          <cell r="H1140" t="str">
            <v>-</v>
          </cell>
          <cell r="J1140" t="str">
            <v>펌프카65</v>
          </cell>
          <cell r="K1140" t="str">
            <v>영광중기</v>
          </cell>
          <cell r="O1140">
            <v>41400</v>
          </cell>
          <cell r="Q1140" t="str">
            <v/>
          </cell>
          <cell r="S1140">
            <v>45926</v>
          </cell>
          <cell r="T1140">
            <v>45926</v>
          </cell>
          <cell r="V1140" t="str">
            <v>건설기계운전원</v>
          </cell>
        </row>
        <row r="1141">
          <cell r="A1141" t="str">
            <v>김요재</v>
          </cell>
          <cell r="B1141" t="str">
            <v>이천시 이섭대천로1419번길35,108-1004</v>
          </cell>
          <cell r="C1141" t="str">
            <v>821015-1248012</v>
          </cell>
          <cell r="E1141">
            <v>1800000</v>
          </cell>
          <cell r="F1141" t="str">
            <v>남</v>
          </cell>
          <cell r="G1141">
            <v>45</v>
          </cell>
          <cell r="H1141" t="str">
            <v>-</v>
          </cell>
          <cell r="J1141" t="str">
            <v>펌프카45</v>
          </cell>
          <cell r="K1141" t="str">
            <v>영광중기</v>
          </cell>
          <cell r="O1141">
            <v>44478</v>
          </cell>
          <cell r="Q1141" t="str">
            <v/>
          </cell>
          <cell r="S1141">
            <v>45930</v>
          </cell>
          <cell r="T1141">
            <v>45930</v>
          </cell>
          <cell r="V1141" t="str">
            <v>건설기계운전원</v>
          </cell>
        </row>
        <row r="1142">
          <cell r="A1142" t="str">
            <v>김성진</v>
          </cell>
          <cell r="B1142" t="str">
            <v>광주광역시 북구 연양로 105번길20-5,301호</v>
          </cell>
          <cell r="C1142" t="str">
            <v>770725-1639911</v>
          </cell>
          <cell r="E1142">
            <v>1800000</v>
          </cell>
          <cell r="F1142" t="str">
            <v>남</v>
          </cell>
          <cell r="G1142">
            <v>50</v>
          </cell>
          <cell r="H1142" t="str">
            <v>-</v>
          </cell>
          <cell r="J1142" t="str">
            <v>펌프카42</v>
          </cell>
          <cell r="K1142" t="str">
            <v>대우건기</v>
          </cell>
          <cell r="O1142">
            <v>43236</v>
          </cell>
          <cell r="Q1142" t="str">
            <v/>
          </cell>
          <cell r="R1142">
            <v>45945</v>
          </cell>
          <cell r="S1142">
            <v>45945</v>
          </cell>
          <cell r="T1142">
            <v>45945</v>
          </cell>
          <cell r="V1142" t="str">
            <v>건설기계운전원</v>
          </cell>
        </row>
        <row r="1143">
          <cell r="A1143" t="str">
            <v>이제승</v>
          </cell>
          <cell r="B1143" t="str">
            <v>고양시 덕양구 통일로1214번길6-19,A-203호</v>
          </cell>
          <cell r="C1143" t="str">
            <v>880322-1222511</v>
          </cell>
          <cell r="E1143">
            <v>1800000</v>
          </cell>
          <cell r="F1143" t="str">
            <v>남</v>
          </cell>
          <cell r="G1143">
            <v>39</v>
          </cell>
          <cell r="H1143" t="str">
            <v>-</v>
          </cell>
          <cell r="J1143" t="str">
            <v>펌프카70</v>
          </cell>
          <cell r="K1143" t="str">
            <v>대우건기</v>
          </cell>
          <cell r="O1143">
            <v>43876</v>
          </cell>
          <cell r="Q1143" t="str">
            <v/>
          </cell>
          <cell r="S1143">
            <v>45946</v>
          </cell>
          <cell r="T1143">
            <v>45946</v>
          </cell>
          <cell r="V1143" t="str">
            <v>건설기계운전원</v>
          </cell>
        </row>
        <row r="1144">
          <cell r="A1144" t="str">
            <v>이원호</v>
          </cell>
          <cell r="B1144" t="str">
            <v>인천광역시 계양구 효서로123 12,2-201</v>
          </cell>
          <cell r="C1144" t="str">
            <v>780206-1055537</v>
          </cell>
          <cell r="D1144" t="str">
            <v>010-8356-9907</v>
          </cell>
          <cell r="E1144">
            <v>1800000</v>
          </cell>
          <cell r="F1144" t="str">
            <v>남</v>
          </cell>
          <cell r="G1144">
            <v>49</v>
          </cell>
          <cell r="H1144" t="str">
            <v>-</v>
          </cell>
          <cell r="J1144" t="str">
            <v>펌프카60</v>
          </cell>
          <cell r="K1144" t="str">
            <v>대우건기</v>
          </cell>
          <cell r="O1144">
            <v>41907</v>
          </cell>
          <cell r="Q1144" t="str">
            <v/>
          </cell>
          <cell r="R1144">
            <v>45954</v>
          </cell>
          <cell r="S1144">
            <v>45954</v>
          </cell>
          <cell r="T1144">
            <v>45954</v>
          </cell>
          <cell r="V1144" t="str">
            <v>건설기계운전원</v>
          </cell>
        </row>
        <row r="1145">
          <cell r="A1145" t="str">
            <v>주문탁</v>
          </cell>
          <cell r="B1145" t="str">
            <v>충남 홍성군 홍북면 신대로54, 103-1601</v>
          </cell>
          <cell r="C1145" t="str">
            <v>741103-1466733</v>
          </cell>
          <cell r="E1145">
            <v>1800000</v>
          </cell>
          <cell r="F1145" t="str">
            <v>남</v>
          </cell>
          <cell r="G1145">
            <v>53</v>
          </cell>
          <cell r="H1145" t="str">
            <v>-</v>
          </cell>
          <cell r="J1145" t="str">
            <v>펌프카65</v>
          </cell>
          <cell r="K1145" t="str">
            <v>대우건기</v>
          </cell>
          <cell r="O1145">
            <v>41758</v>
          </cell>
          <cell r="Q1145" t="str">
            <v/>
          </cell>
          <cell r="S1145">
            <v>45958</v>
          </cell>
          <cell r="T1145">
            <v>45958</v>
          </cell>
          <cell r="V1145" t="str">
            <v>건설기계운전원</v>
          </cell>
        </row>
        <row r="1146">
          <cell r="A1146" t="str">
            <v>김승원</v>
          </cell>
          <cell r="B1146" t="str">
            <v>인천 간석관신터휴 103-2004호</v>
          </cell>
          <cell r="C1146" t="str">
            <v>840526-1187811</v>
          </cell>
          <cell r="D1146" t="str">
            <v>010-8384-4648</v>
          </cell>
          <cell r="E1146">
            <v>1800000</v>
          </cell>
          <cell r="F1146" t="str">
            <v>남</v>
          </cell>
          <cell r="G1146">
            <v>43</v>
          </cell>
          <cell r="H1146" t="str">
            <v>-</v>
          </cell>
          <cell r="J1146" t="str">
            <v>펌프카42</v>
          </cell>
          <cell r="K1146" t="str">
            <v>대우건기</v>
          </cell>
          <cell r="O1146" t="str">
            <v>없음</v>
          </cell>
          <cell r="Q1146" t="str">
            <v/>
          </cell>
          <cell r="R1146">
            <v>45964</v>
          </cell>
          <cell r="S1146" t="str">
            <v>없음</v>
          </cell>
          <cell r="T1146">
            <v>45964</v>
          </cell>
          <cell r="V1146" t="str">
            <v>건설기계운전원</v>
          </cell>
        </row>
        <row r="1147">
          <cell r="A1147" t="str">
            <v>이범희</v>
          </cell>
          <cell r="B1147" t="str">
            <v>원주시 라옹정길 3-9 301호</v>
          </cell>
          <cell r="C1147" t="str">
            <v>730410-1268613</v>
          </cell>
          <cell r="E1147">
            <v>1800000</v>
          </cell>
          <cell r="F1147" t="str">
            <v>남</v>
          </cell>
          <cell r="G1147">
            <v>54</v>
          </cell>
          <cell r="H1147" t="str">
            <v>-</v>
          </cell>
          <cell r="J1147" t="str">
            <v>펌프카68</v>
          </cell>
          <cell r="K1147" t="str">
            <v>대우건기</v>
          </cell>
          <cell r="O1147">
            <v>42381</v>
          </cell>
          <cell r="R1147">
            <v>45971</v>
          </cell>
          <cell r="S1147">
            <v>45971</v>
          </cell>
          <cell r="T1147">
            <v>45971</v>
          </cell>
          <cell r="V1147" t="str">
            <v>건설기계운전원</v>
          </cell>
        </row>
        <row r="1148">
          <cell r="A1148" t="str">
            <v>원치호</v>
          </cell>
          <cell r="B1148" t="str">
            <v>경기도 시흥시 신천로100번길 15-1.3층</v>
          </cell>
          <cell r="C1148" t="str">
            <v>671030-1063233</v>
          </cell>
          <cell r="D1148" t="str">
            <v>010-2300-9244</v>
          </cell>
          <cell r="E1148">
            <v>1800000</v>
          </cell>
          <cell r="F1148" t="str">
            <v>남</v>
          </cell>
          <cell r="G1148">
            <v>60</v>
          </cell>
          <cell r="H1148" t="str">
            <v>-</v>
          </cell>
          <cell r="J1148" t="str">
            <v>펌프카</v>
          </cell>
          <cell r="K1148" t="str">
            <v>대우건기</v>
          </cell>
          <cell r="O1148">
            <v>41474</v>
          </cell>
          <cell r="R1148">
            <v>45973</v>
          </cell>
          <cell r="S1148">
            <v>45973</v>
          </cell>
          <cell r="T1148">
            <v>45973</v>
          </cell>
          <cell r="V1148" t="str">
            <v>건설기계운전원</v>
          </cell>
        </row>
        <row r="1149">
          <cell r="A1149" t="str">
            <v>맹진호</v>
          </cell>
          <cell r="B1149" t="str">
            <v>원주시 이화3길 32-18</v>
          </cell>
          <cell r="C1149" t="str">
            <v>740615-1323911</v>
          </cell>
          <cell r="D1149" t="str">
            <v>010-5365-1653</v>
          </cell>
          <cell r="E1149">
            <v>1800000</v>
          </cell>
          <cell r="F1149" t="str">
            <v>남</v>
          </cell>
          <cell r="G1149">
            <v>53</v>
          </cell>
          <cell r="H1149" t="str">
            <v>-</v>
          </cell>
          <cell r="J1149" t="str">
            <v>펌프카</v>
          </cell>
          <cell r="K1149" t="str">
            <v>대우건기</v>
          </cell>
          <cell r="O1149">
            <v>42382</v>
          </cell>
          <cell r="R1149">
            <v>45975</v>
          </cell>
          <cell r="S1149">
            <v>45975</v>
          </cell>
          <cell r="T1149">
            <v>45975</v>
          </cell>
          <cell r="V1149" t="str">
            <v>건설기계운전원</v>
          </cell>
        </row>
        <row r="1150">
          <cell r="A1150" t="str">
            <v>임민규</v>
          </cell>
          <cell r="B1150" t="str">
            <v>강원 원주시 강변로 119,102-502</v>
          </cell>
          <cell r="C1150" t="str">
            <v>900705-1332723</v>
          </cell>
          <cell r="D1150" t="str">
            <v>010-2050-8760</v>
          </cell>
          <cell r="E1150">
            <v>1800000</v>
          </cell>
          <cell r="F1150" t="str">
            <v>남</v>
          </cell>
          <cell r="G1150">
            <v>37</v>
          </cell>
          <cell r="H1150" t="str">
            <v>-</v>
          </cell>
          <cell r="J1150" t="str">
            <v>펌프카</v>
          </cell>
          <cell r="K1150" t="str">
            <v>대우건기</v>
          </cell>
          <cell r="O1150">
            <v>43363</v>
          </cell>
          <cell r="R1150">
            <v>45985</v>
          </cell>
          <cell r="S1150">
            <v>45985</v>
          </cell>
          <cell r="T1150">
            <v>45985</v>
          </cell>
          <cell r="V1150" t="str">
            <v>건설기계운전원</v>
          </cell>
        </row>
        <row r="1151">
          <cell r="A1151" t="str">
            <v>김성용펌</v>
          </cell>
          <cell r="B1151" t="str">
            <v>경기 광명 하안로 180-14, 101-118</v>
          </cell>
          <cell r="C1151" t="str">
            <v>791110-1477911</v>
          </cell>
          <cell r="D1151" t="str">
            <v>010-6254-9846</v>
          </cell>
          <cell r="E1151">
            <v>1800000</v>
          </cell>
          <cell r="F1151" t="str">
            <v>남</v>
          </cell>
          <cell r="G1151">
            <v>48</v>
          </cell>
          <cell r="H1151" t="str">
            <v>-</v>
          </cell>
          <cell r="J1151" t="str">
            <v>펌프카42</v>
          </cell>
          <cell r="K1151" t="str">
            <v>대우건기</v>
          </cell>
          <cell r="O1151">
            <v>41289</v>
          </cell>
          <cell r="R1151">
            <v>46006</v>
          </cell>
          <cell r="S1151">
            <v>46006</v>
          </cell>
          <cell r="T1151">
            <v>46006</v>
          </cell>
          <cell r="V1151" t="str">
            <v>건설기계운전원</v>
          </cell>
        </row>
        <row r="1152">
          <cell r="A1152" t="str">
            <v>남기동</v>
          </cell>
          <cell r="B1152" t="str">
            <v>원주시 치악로1803,807호</v>
          </cell>
          <cell r="C1152" t="str">
            <v>671111-1358029</v>
          </cell>
          <cell r="E1152">
            <v>1800000</v>
          </cell>
          <cell r="F1152" t="str">
            <v>남</v>
          </cell>
          <cell r="G1152">
            <v>60</v>
          </cell>
          <cell r="H1152" t="str">
            <v>-</v>
          </cell>
          <cell r="J1152" t="str">
            <v>펌프카63</v>
          </cell>
          <cell r="K1152" t="str">
            <v>대우건기</v>
          </cell>
          <cell r="O1152">
            <v>42381</v>
          </cell>
          <cell r="Q1152" t="str">
            <v/>
          </cell>
          <cell r="S1152">
            <v>46021</v>
          </cell>
          <cell r="T1152">
            <v>46021</v>
          </cell>
          <cell r="V1152" t="str">
            <v>건설기계운전원</v>
          </cell>
        </row>
        <row r="1153">
          <cell r="A1153" t="str">
            <v>김경환</v>
          </cell>
          <cell r="B1153" t="str">
            <v>강원 원주 문막읍 건등로41,101-1402</v>
          </cell>
          <cell r="C1153" t="str">
            <v>730222-1256110</v>
          </cell>
          <cell r="D1153" t="str">
            <v>010-4738-1240</v>
          </cell>
          <cell r="E1153">
            <v>1800000</v>
          </cell>
          <cell r="F1153" t="str">
            <v>남</v>
          </cell>
          <cell r="G1153">
            <v>54</v>
          </cell>
          <cell r="H1153" t="str">
            <v>-</v>
          </cell>
          <cell r="J1153" t="str">
            <v>펌프카</v>
          </cell>
          <cell r="K1153" t="str">
            <v>대우건기</v>
          </cell>
          <cell r="O1153">
            <v>42010</v>
          </cell>
          <cell r="Q1153" t="str">
            <v/>
          </cell>
          <cell r="R1153">
            <v>46041</v>
          </cell>
          <cell r="S1153">
            <v>46041</v>
          </cell>
          <cell r="T1153">
            <v>46041</v>
          </cell>
          <cell r="V1153" t="str">
            <v>건설기계운전원</v>
          </cell>
        </row>
        <row r="1154">
          <cell r="A1154" t="str">
            <v>김만수</v>
          </cell>
          <cell r="B1154" t="str">
            <v>경기 시흥시 수인로3395번길 26, 2층</v>
          </cell>
          <cell r="C1154" t="str">
            <v>730310-1269017</v>
          </cell>
          <cell r="D1154" t="str">
            <v>010-5251-8400</v>
          </cell>
          <cell r="E1154">
            <v>1800000</v>
          </cell>
          <cell r="F1154" t="str">
            <v>남</v>
          </cell>
          <cell r="G1154">
            <v>54</v>
          </cell>
          <cell r="H1154" t="str">
            <v>-</v>
          </cell>
          <cell r="J1154" t="str">
            <v>펌프카</v>
          </cell>
          <cell r="K1154" t="str">
            <v>대우건기</v>
          </cell>
          <cell r="O1154">
            <v>41618</v>
          </cell>
          <cell r="R1154">
            <v>46050</v>
          </cell>
          <cell r="S1154">
            <v>46050</v>
          </cell>
          <cell r="T1154">
            <v>46050</v>
          </cell>
          <cell r="V1154" t="str">
            <v>건설기계운전원</v>
          </cell>
        </row>
        <row r="1155">
          <cell r="A1155" t="str">
            <v>조용인</v>
          </cell>
          <cell r="B1155" t="str">
            <v>경북 상주시 청리면 수상길7</v>
          </cell>
          <cell r="C1155" t="str">
            <v>690217-1804343</v>
          </cell>
          <cell r="D1155" t="str">
            <v>010-5554-2254</v>
          </cell>
          <cell r="E1155">
            <v>1800000</v>
          </cell>
          <cell r="F1155" t="str">
            <v>남</v>
          </cell>
          <cell r="G1155">
            <v>58</v>
          </cell>
          <cell r="H1155" t="str">
            <v>-</v>
          </cell>
          <cell r="J1155" t="str">
            <v>펌프카</v>
          </cell>
          <cell r="K1155" t="str">
            <v>대우건기</v>
          </cell>
          <cell r="O1155">
            <v>41562</v>
          </cell>
          <cell r="R1155">
            <v>46064</v>
          </cell>
          <cell r="S1155">
            <v>46064</v>
          </cell>
          <cell r="T1155">
            <v>46064</v>
          </cell>
          <cell r="V1155" t="str">
            <v>건설기계운전원</v>
          </cell>
        </row>
        <row r="1156">
          <cell r="A1156" t="str">
            <v>한승우</v>
          </cell>
          <cell r="B1156" t="str">
            <v>서울 강서구 화곡동 372-70</v>
          </cell>
          <cell r="C1156" t="str">
            <v>870206-1066533</v>
          </cell>
          <cell r="D1156" t="str">
            <v>010-7237-4807</v>
          </cell>
          <cell r="E1156">
            <v>1800000</v>
          </cell>
          <cell r="F1156" t="str">
            <v>남</v>
          </cell>
          <cell r="G1156">
            <v>40</v>
          </cell>
          <cell r="H1156" t="str">
            <v>-</v>
          </cell>
          <cell r="J1156" t="str">
            <v>펌프카</v>
          </cell>
          <cell r="K1156" t="str">
            <v>대우건기</v>
          </cell>
          <cell r="O1156">
            <v>42611</v>
          </cell>
          <cell r="R1156">
            <v>46086</v>
          </cell>
          <cell r="S1156">
            <v>46086</v>
          </cell>
          <cell r="T1156">
            <v>46086</v>
          </cell>
          <cell r="V1156" t="str">
            <v>건설기계운전원</v>
          </cell>
        </row>
        <row r="1157">
          <cell r="A1157" t="str">
            <v>이보연</v>
          </cell>
          <cell r="B1157" t="str">
            <v>강원 원주시 늘품로 16, 203-1001</v>
          </cell>
          <cell r="C1157" t="str">
            <v>761007-1323912</v>
          </cell>
          <cell r="E1157">
            <v>1800000</v>
          </cell>
          <cell r="F1157" t="str">
            <v>남</v>
          </cell>
          <cell r="G1157">
            <v>51</v>
          </cell>
          <cell r="H1157" t="str">
            <v>-</v>
          </cell>
          <cell r="J1157" t="str">
            <v>펌프카</v>
          </cell>
          <cell r="K1157" t="str">
            <v>대우건기</v>
          </cell>
          <cell r="O1157">
            <v>41466</v>
          </cell>
          <cell r="R1157">
            <v>46084</v>
          </cell>
          <cell r="S1157">
            <v>46084</v>
          </cell>
          <cell r="T1157">
            <v>46084</v>
          </cell>
          <cell r="V1157" t="str">
            <v>건설기계운전원</v>
          </cell>
        </row>
        <row r="1158">
          <cell r="A1158" t="str">
            <v>이호석</v>
          </cell>
          <cell r="B1158" t="str">
            <v>경기 하남시 서하남로 576번길 14</v>
          </cell>
          <cell r="C1158" t="str">
            <v>720314-1468437</v>
          </cell>
          <cell r="D1158" t="str">
            <v>010-4120-7610</v>
          </cell>
          <cell r="E1158">
            <v>1800000</v>
          </cell>
          <cell r="F1158" t="str">
            <v>남</v>
          </cell>
          <cell r="G1158">
            <v>55</v>
          </cell>
          <cell r="H1158" t="str">
            <v>-</v>
          </cell>
          <cell r="J1158" t="str">
            <v>펌프카</v>
          </cell>
          <cell r="K1158" t="str">
            <v>대우건기</v>
          </cell>
          <cell r="O1158">
            <v>41101</v>
          </cell>
          <cell r="R1158">
            <v>46097</v>
          </cell>
          <cell r="S1158">
            <v>46097</v>
          </cell>
          <cell r="T1158">
            <v>46097</v>
          </cell>
          <cell r="V1158" t="str">
            <v>건설기계운전원</v>
          </cell>
        </row>
        <row r="1159">
          <cell r="A1159" t="str">
            <v>최원진</v>
          </cell>
          <cell r="B1159" t="str">
            <v>충남 예산군 오가면 원평3길 40</v>
          </cell>
          <cell r="C1159" t="str">
            <v>690629-1469511</v>
          </cell>
          <cell r="D1159" t="str">
            <v>010-3403-5218</v>
          </cell>
          <cell r="E1159">
            <v>1800000</v>
          </cell>
          <cell r="F1159" t="str">
            <v>남</v>
          </cell>
          <cell r="G1159">
            <v>58</v>
          </cell>
          <cell r="H1159" t="str">
            <v>-</v>
          </cell>
          <cell r="J1159" t="str">
            <v>펌프카</v>
          </cell>
          <cell r="K1159" t="str">
            <v>대우건기</v>
          </cell>
          <cell r="O1159">
            <v>41758</v>
          </cell>
          <cell r="R1159">
            <v>46100</v>
          </cell>
          <cell r="S1159">
            <v>46100</v>
          </cell>
          <cell r="T1159">
            <v>46100</v>
          </cell>
          <cell r="V1159" t="str">
            <v>건설기계운전원</v>
          </cell>
        </row>
        <row r="1160">
          <cell r="A1160" t="str">
            <v>문창윤</v>
          </cell>
          <cell r="B1160" t="str">
            <v>전남 목포시 당가두로14번길 50,202</v>
          </cell>
          <cell r="C1160" t="str">
            <v>670627-1667615</v>
          </cell>
          <cell r="E1160">
            <v>1800000</v>
          </cell>
          <cell r="F1160" t="str">
            <v>남</v>
          </cell>
          <cell r="G1160">
            <v>60</v>
          </cell>
          <cell r="H1160" t="str">
            <v>-</v>
          </cell>
          <cell r="J1160" t="str">
            <v>펌프카63</v>
          </cell>
          <cell r="K1160" t="str">
            <v>대우건기</v>
          </cell>
          <cell r="O1160">
            <v>41892</v>
          </cell>
          <cell r="R1160">
            <v>46100</v>
          </cell>
          <cell r="S1160">
            <v>46100</v>
          </cell>
          <cell r="T1160">
            <v>46100</v>
          </cell>
          <cell r="V1160" t="str">
            <v>건설기계운전원</v>
          </cell>
        </row>
        <row r="1161">
          <cell r="A1161" t="str">
            <v>박지훈</v>
          </cell>
          <cell r="B1161" t="str">
            <v>남양주 화도읍 경춘로 2290번길2 101-1002</v>
          </cell>
          <cell r="C1161" t="str">
            <v>770105-1654220</v>
          </cell>
          <cell r="D1161" t="str">
            <v>010-5858-3031</v>
          </cell>
          <cell r="E1161">
            <v>1800000</v>
          </cell>
          <cell r="F1161" t="str">
            <v>남</v>
          </cell>
          <cell r="G1161">
            <v>50</v>
          </cell>
          <cell r="H1161" t="str">
            <v>-</v>
          </cell>
          <cell r="J1161" t="str">
            <v>펌프카70</v>
          </cell>
          <cell r="K1161" t="str">
            <v>대우건기</v>
          </cell>
          <cell r="O1161">
            <v>41458</v>
          </cell>
          <cell r="R1161">
            <v>46105</v>
          </cell>
          <cell r="S1161">
            <v>46105</v>
          </cell>
          <cell r="T1161">
            <v>46105</v>
          </cell>
          <cell r="V1161" t="str">
            <v>건설기계운전원</v>
          </cell>
        </row>
        <row r="1162">
          <cell r="A1162" t="str">
            <v>정태호</v>
          </cell>
          <cell r="B1162" t="str">
            <v>경기 구리시 체육과놀69, 209-502</v>
          </cell>
          <cell r="C1162" t="str">
            <v>730101-1815315</v>
          </cell>
          <cell r="E1162">
            <v>1800000</v>
          </cell>
          <cell r="F1162" t="str">
            <v>남</v>
          </cell>
          <cell r="G1162">
            <v>54</v>
          </cell>
          <cell r="H1162" t="str">
            <v>-</v>
          </cell>
          <cell r="J1162" t="str">
            <v>펌프카</v>
          </cell>
          <cell r="K1162" t="str">
            <v>대우건기</v>
          </cell>
          <cell r="O1162">
            <v>41096</v>
          </cell>
          <cell r="R1162">
            <v>46105</v>
          </cell>
          <cell r="S1162">
            <v>46105</v>
          </cell>
          <cell r="T1162">
            <v>46105</v>
          </cell>
          <cell r="V1162" t="str">
            <v>건설기계운전원</v>
          </cell>
        </row>
        <row r="1163">
          <cell r="A1163" t="str">
            <v>박병훈</v>
          </cell>
          <cell r="B1163" t="str">
            <v>경기 용인 처인구 원삼면 좌전로86번길 18</v>
          </cell>
          <cell r="C1163" t="str">
            <v>670525-1803228</v>
          </cell>
          <cell r="D1163" t="str">
            <v>010-5023-8846</v>
          </cell>
          <cell r="E1163">
            <v>1800000</v>
          </cell>
          <cell r="F1163" t="str">
            <v>남</v>
          </cell>
          <cell r="G1163">
            <v>60</v>
          </cell>
          <cell r="H1163" t="str">
            <v>-</v>
          </cell>
          <cell r="J1163" t="str">
            <v>펌프카65</v>
          </cell>
          <cell r="K1163" t="str">
            <v>대우건기</v>
          </cell>
          <cell r="O1163">
            <v>42579</v>
          </cell>
          <cell r="R1163">
            <v>46108</v>
          </cell>
          <cell r="S1163">
            <v>46108</v>
          </cell>
          <cell r="T1163">
            <v>46108</v>
          </cell>
          <cell r="V1163" t="str">
            <v>건설기계운전원</v>
          </cell>
        </row>
        <row r="1164">
          <cell r="A1164" t="str">
            <v>이봉규</v>
          </cell>
          <cell r="B1164" t="str">
            <v>서울 강동구 상암로81길29, 지2호</v>
          </cell>
          <cell r="C1164" t="str">
            <v>650826-1665912</v>
          </cell>
          <cell r="D1164" t="str">
            <v>010-7474-0826</v>
          </cell>
          <cell r="E1164">
            <v>1800000</v>
          </cell>
          <cell r="F1164" t="str">
            <v>남</v>
          </cell>
          <cell r="G1164">
            <v>62</v>
          </cell>
          <cell r="H1164" t="str">
            <v>-</v>
          </cell>
          <cell r="J1164" t="str">
            <v>펌프카65</v>
          </cell>
          <cell r="K1164" t="str">
            <v>대우건기</v>
          </cell>
          <cell r="O1164">
            <v>41530</v>
          </cell>
          <cell r="R1164">
            <v>46108</v>
          </cell>
          <cell r="S1164">
            <v>46108</v>
          </cell>
          <cell r="T1164">
            <v>46108</v>
          </cell>
          <cell r="V1164" t="str">
            <v>건설기계운전원</v>
          </cell>
        </row>
        <row r="1165">
          <cell r="A1165" t="str">
            <v>명신훈</v>
          </cell>
          <cell r="B1165" t="str">
            <v>경기 안산 상록구 고목로7길8, 202호</v>
          </cell>
          <cell r="C1165" t="str">
            <v>801116-1667718</v>
          </cell>
          <cell r="D1165" t="str">
            <v>010-3337-8374</v>
          </cell>
          <cell r="E1165">
            <v>1800000</v>
          </cell>
          <cell r="F1165" t="str">
            <v>남</v>
          </cell>
          <cell r="G1165">
            <v>47</v>
          </cell>
          <cell r="H1165" t="str">
            <v>-</v>
          </cell>
          <cell r="J1165" t="str">
            <v>펌프카65</v>
          </cell>
          <cell r="K1165" t="str">
            <v>대우건기</v>
          </cell>
          <cell r="O1165">
            <v>41723</v>
          </cell>
          <cell r="R1165">
            <v>46113</v>
          </cell>
          <cell r="S1165">
            <v>46113</v>
          </cell>
          <cell r="T1165">
            <v>46113</v>
          </cell>
          <cell r="V1165" t="str">
            <v>건설기계운전원</v>
          </cell>
        </row>
        <row r="1166">
          <cell r="A1166" t="str">
            <v>이문식</v>
          </cell>
          <cell r="B1166" t="str">
            <v>전북 전주시 완산구 전룡5길 24-1,302</v>
          </cell>
          <cell r="C1166" t="str">
            <v>750130-1661318</v>
          </cell>
          <cell r="D1166" t="str">
            <v>010-9442-7501</v>
          </cell>
          <cell r="E1166">
            <v>1800000</v>
          </cell>
          <cell r="F1166" t="str">
            <v>남</v>
          </cell>
          <cell r="G1166">
            <v>52</v>
          </cell>
          <cell r="H1166" t="str">
            <v>-</v>
          </cell>
          <cell r="J1166" t="str">
            <v>펌프카65</v>
          </cell>
          <cell r="K1166" t="str">
            <v>대우건기</v>
          </cell>
          <cell r="O1166">
            <v>41083</v>
          </cell>
          <cell r="R1166">
            <v>46114</v>
          </cell>
          <cell r="S1166">
            <v>46114</v>
          </cell>
          <cell r="T1166">
            <v>46114</v>
          </cell>
          <cell r="V1166" t="str">
            <v>건설기계운전원</v>
          </cell>
        </row>
        <row r="1167">
          <cell r="A1167" t="str">
            <v>김현순</v>
          </cell>
          <cell r="B1167" t="str">
            <v>강원 홍천군 홍천읍 번영로 2</v>
          </cell>
          <cell r="C1167" t="str">
            <v>780628-1341811</v>
          </cell>
          <cell r="D1167" t="str">
            <v>010-6495-2641</v>
          </cell>
          <cell r="E1167">
            <v>1800000</v>
          </cell>
          <cell r="F1167" t="str">
            <v>남</v>
          </cell>
          <cell r="G1167">
            <v>49</v>
          </cell>
          <cell r="H1167" t="str">
            <v>-</v>
          </cell>
          <cell r="J1167" t="str">
            <v>펌프카65</v>
          </cell>
          <cell r="K1167" t="str">
            <v>대우건기</v>
          </cell>
          <cell r="O1167">
            <v>42898</v>
          </cell>
          <cell r="R1167">
            <v>46160</v>
          </cell>
          <cell r="S1167">
            <v>46160</v>
          </cell>
          <cell r="T1167">
            <v>46160</v>
          </cell>
          <cell r="V1167" t="str">
            <v>건설기계운전원</v>
          </cell>
        </row>
        <row r="1168">
          <cell r="A1168" t="str">
            <v>권혁상</v>
          </cell>
          <cell r="B1168" t="str">
            <v>강원 원주시 나비허리길22, 103-104</v>
          </cell>
          <cell r="C1168" t="str">
            <v>570520-1328113</v>
          </cell>
          <cell r="D1168" t="str">
            <v>010-8882-1198</v>
          </cell>
          <cell r="E1168">
            <v>1800000</v>
          </cell>
          <cell r="F1168" t="str">
            <v>남</v>
          </cell>
          <cell r="G1168">
            <v>70</v>
          </cell>
          <cell r="H1168" t="str">
            <v>-</v>
          </cell>
          <cell r="J1168" t="str">
            <v>펌프카42</v>
          </cell>
          <cell r="K1168" t="str">
            <v>대우건기</v>
          </cell>
          <cell r="O1168">
            <v>41789</v>
          </cell>
          <cell r="R1168">
            <v>46175</v>
          </cell>
          <cell r="S1168">
            <v>46175</v>
          </cell>
          <cell r="T1168">
            <v>46175</v>
          </cell>
          <cell r="V1168" t="str">
            <v>건설기계운전원</v>
          </cell>
        </row>
        <row r="1169">
          <cell r="A1169" t="str">
            <v>임성규</v>
          </cell>
          <cell r="B1169" t="str">
            <v>강원 원주 현충로58번길 29, 105-104</v>
          </cell>
          <cell r="C1169" t="str">
            <v>720713-1397313</v>
          </cell>
          <cell r="D1169" t="str">
            <v>010-9367-7947</v>
          </cell>
          <cell r="E1169">
            <v>1800000</v>
          </cell>
          <cell r="F1169" t="str">
            <v>남</v>
          </cell>
          <cell r="G1169">
            <v>55</v>
          </cell>
          <cell r="H1169" t="str">
            <v>-</v>
          </cell>
          <cell r="J1169" t="str">
            <v>펌프카68</v>
          </cell>
          <cell r="K1169" t="str">
            <v>대우건기</v>
          </cell>
          <cell r="O1169">
            <v>41894</v>
          </cell>
          <cell r="R1169">
            <v>46191</v>
          </cell>
          <cell r="S1169">
            <v>46191</v>
          </cell>
          <cell r="T1169">
            <v>46191</v>
          </cell>
          <cell r="V1169" t="str">
            <v>건설기계운전원</v>
          </cell>
        </row>
        <row r="1170">
          <cell r="A1170" t="str">
            <v>김대연</v>
          </cell>
          <cell r="B1170" t="str">
            <v>경기 부천 원미구 지봉로77번길16,101-402</v>
          </cell>
          <cell r="C1170" t="str">
            <v>660915-1661512</v>
          </cell>
          <cell r="D1170" t="str">
            <v>010-6507-6922</v>
          </cell>
          <cell r="E1170">
            <v>1800000</v>
          </cell>
          <cell r="F1170" t="str">
            <v>남</v>
          </cell>
          <cell r="G1170">
            <v>61</v>
          </cell>
          <cell r="H1170" t="str">
            <v>-</v>
          </cell>
          <cell r="J1170" t="str">
            <v>펌프카65</v>
          </cell>
          <cell r="K1170" t="str">
            <v>대우건기</v>
          </cell>
          <cell r="O1170">
            <v>41703</v>
          </cell>
          <cell r="R1170">
            <v>46199</v>
          </cell>
          <cell r="S1170">
            <v>46199</v>
          </cell>
          <cell r="T1170">
            <v>46199</v>
          </cell>
          <cell r="V1170" t="str">
            <v>건설기계운전원</v>
          </cell>
        </row>
        <row r="1171">
          <cell r="A1171" t="str">
            <v>김인석</v>
          </cell>
          <cell r="B1171" t="str">
            <v>강원 원주시 이화3길 35</v>
          </cell>
          <cell r="C1171" t="str">
            <v>700429-1398621</v>
          </cell>
          <cell r="E1171">
            <v>1800000</v>
          </cell>
          <cell r="F1171" t="str">
            <v>남</v>
          </cell>
          <cell r="G1171">
            <v>57</v>
          </cell>
          <cell r="H1171" t="str">
            <v>-</v>
          </cell>
          <cell r="J1171" t="str">
            <v>펌프카65</v>
          </cell>
          <cell r="K1171" t="str">
            <v>대우건기</v>
          </cell>
          <cell r="O1171">
            <v>41877</v>
          </cell>
          <cell r="R1171">
            <v>46202</v>
          </cell>
          <cell r="S1171">
            <v>46202</v>
          </cell>
          <cell r="T1171">
            <v>46202</v>
          </cell>
          <cell r="V1171" t="str">
            <v>건설기계운전원</v>
          </cell>
        </row>
        <row r="1172">
          <cell r="A1172" t="str">
            <v>정은철</v>
          </cell>
          <cell r="B1172" t="str">
            <v>강원 원주 원문로 160, 201-1104</v>
          </cell>
          <cell r="C1172" t="str">
            <v>670216-1324017</v>
          </cell>
          <cell r="D1172" t="str">
            <v>010-5361-2799</v>
          </cell>
          <cell r="E1172">
            <v>1800000</v>
          </cell>
          <cell r="F1172" t="str">
            <v>남</v>
          </cell>
          <cell r="G1172">
            <v>60</v>
          </cell>
          <cell r="H1172" t="str">
            <v>-</v>
          </cell>
          <cell r="J1172" t="str">
            <v>펌프카43</v>
          </cell>
          <cell r="K1172" t="str">
            <v>대우건기</v>
          </cell>
          <cell r="O1172">
            <v>41894</v>
          </cell>
          <cell r="R1172">
            <v>46203</v>
          </cell>
          <cell r="S1172">
            <v>46203</v>
          </cell>
          <cell r="T1172">
            <v>46203</v>
          </cell>
          <cell r="V1172" t="str">
            <v>건설기계운전원</v>
          </cell>
        </row>
        <row r="1173">
          <cell r="A1173" t="str">
            <v>나영학</v>
          </cell>
          <cell r="B1173" t="str">
            <v>인천 남동구 석산로 207번길 34-9, 2동 302호</v>
          </cell>
          <cell r="C1173" t="str">
            <v>730921-1655018</v>
          </cell>
          <cell r="D1173" t="str">
            <v>010-5469-7317</v>
          </cell>
          <cell r="E1173">
            <v>1800000</v>
          </cell>
          <cell r="F1173" t="str">
            <v>남</v>
          </cell>
          <cell r="G1173">
            <v>54</v>
          </cell>
          <cell r="H1173" t="str">
            <v>-</v>
          </cell>
          <cell r="J1173" t="str">
            <v>펌프카</v>
          </cell>
          <cell r="K1173" t="str">
            <v>대우건기</v>
          </cell>
          <cell r="O1173">
            <v>42187</v>
          </cell>
          <cell r="R1173">
            <v>46227</v>
          </cell>
          <cell r="S1173">
            <v>46227</v>
          </cell>
          <cell r="T1173">
            <v>46227</v>
          </cell>
          <cell r="V1173" t="str">
            <v>건설기계운전원</v>
          </cell>
        </row>
        <row r="1174">
          <cell r="F1174" t="str">
            <v/>
          </cell>
          <cell r="G1174" t="str">
            <v/>
          </cell>
          <cell r="H1174" t="str">
            <v/>
          </cell>
          <cell r="Q1174" t="str">
            <v/>
          </cell>
        </row>
        <row r="1175">
          <cell r="F1175" t="str">
            <v/>
          </cell>
          <cell r="G1175" t="str">
            <v/>
          </cell>
          <cell r="H1175" t="str">
            <v/>
          </cell>
          <cell r="Q1175" t="str">
            <v/>
          </cell>
        </row>
        <row r="1176">
          <cell r="F1176" t="str">
            <v/>
          </cell>
          <cell r="G1176" t="str">
            <v/>
          </cell>
          <cell r="H1176" t="str">
            <v/>
          </cell>
          <cell r="Q1176" t="str">
            <v/>
          </cell>
        </row>
        <row r="1177">
          <cell r="F1177" t="str">
            <v/>
          </cell>
          <cell r="G1177" t="str">
            <v/>
          </cell>
          <cell r="H1177" t="str">
            <v/>
          </cell>
          <cell r="Q1177" t="str">
            <v/>
          </cell>
        </row>
        <row r="1178">
          <cell r="A1178" t="str">
            <v>마감미장</v>
          </cell>
          <cell r="F1178" t="str">
            <v/>
          </cell>
          <cell r="G1178" t="str">
            <v/>
          </cell>
          <cell r="H1178" t="str">
            <v/>
          </cell>
          <cell r="Q1178" t="str">
            <v/>
          </cell>
        </row>
        <row r="1179">
          <cell r="A1179" t="str">
            <v>오명환</v>
          </cell>
          <cell r="B1179" t="str">
            <v>서울시 강동구 고덕로38길45</v>
          </cell>
          <cell r="C1179" t="str">
            <v>701027-1472411</v>
          </cell>
          <cell r="D1179" t="str">
            <v>010-5333-3578</v>
          </cell>
          <cell r="E1179">
            <v>500000</v>
          </cell>
          <cell r="F1179" t="str">
            <v>남</v>
          </cell>
          <cell r="G1179">
            <v>57</v>
          </cell>
          <cell r="H1179" t="str">
            <v>-</v>
          </cell>
          <cell r="J1179" t="str">
            <v>마감미장</v>
          </cell>
          <cell r="K1179" t="str">
            <v>대우건기</v>
          </cell>
          <cell r="L1179" t="str">
            <v>824002-04-015983</v>
          </cell>
          <cell r="M1179" t="str">
            <v>국민은행</v>
          </cell>
          <cell r="N1179" t="str">
            <v>오명환</v>
          </cell>
          <cell r="O1179">
            <v>41977</v>
          </cell>
          <cell r="S1179">
            <v>45905</v>
          </cell>
          <cell r="T1179">
            <v>45905</v>
          </cell>
          <cell r="V1179" t="str">
            <v>마감미장</v>
          </cell>
        </row>
        <row r="1180">
          <cell r="A1180" t="str">
            <v>김병준미</v>
          </cell>
          <cell r="B1180" t="str">
            <v>인천시 미추홀구 승학길6-24,401호</v>
          </cell>
          <cell r="C1180" t="str">
            <v>680515-1140117</v>
          </cell>
          <cell r="D1180" t="str">
            <v>010-5478-1632</v>
          </cell>
          <cell r="E1180">
            <v>500000</v>
          </cell>
          <cell r="F1180" t="str">
            <v>남</v>
          </cell>
          <cell r="G1180">
            <v>59</v>
          </cell>
          <cell r="H1180" t="str">
            <v>-</v>
          </cell>
          <cell r="J1180" t="str">
            <v>마감미장</v>
          </cell>
          <cell r="K1180" t="str">
            <v>대우건기</v>
          </cell>
          <cell r="L1180" t="str">
            <v>302-1259-3720-51</v>
          </cell>
          <cell r="M1180" t="str">
            <v>농협은행</v>
          </cell>
          <cell r="N1180" t="str">
            <v>김병준</v>
          </cell>
          <cell r="O1180">
            <v>42636</v>
          </cell>
          <cell r="Q1180" t="str">
            <v/>
          </cell>
          <cell r="S1180">
            <v>45905</v>
          </cell>
          <cell r="T1180">
            <v>45905</v>
          </cell>
          <cell r="V1180" t="str">
            <v>마감미장</v>
          </cell>
        </row>
        <row r="1181">
          <cell r="A1181" t="str">
            <v>이명덕</v>
          </cell>
          <cell r="B1181" t="str">
            <v>서울시 은평구 은평로8-5,201호</v>
          </cell>
          <cell r="C1181" t="str">
            <v>660824-1037719</v>
          </cell>
          <cell r="D1181" t="str">
            <v>010-6472-6463</v>
          </cell>
          <cell r="E1181">
            <v>500000</v>
          </cell>
          <cell r="F1181" t="str">
            <v>남</v>
          </cell>
          <cell r="G1181">
            <v>61</v>
          </cell>
          <cell r="H1181" t="str">
            <v>-</v>
          </cell>
          <cell r="J1181" t="str">
            <v>마감미장</v>
          </cell>
          <cell r="K1181" t="str">
            <v>대우건기</v>
          </cell>
          <cell r="L1181" t="str">
            <v>827902-04-217421</v>
          </cell>
          <cell r="M1181" t="str">
            <v>국민은행</v>
          </cell>
          <cell r="N1181" t="str">
            <v>이명덕</v>
          </cell>
          <cell r="O1181">
            <v>41711</v>
          </cell>
          <cell r="Q1181" t="str">
            <v/>
          </cell>
          <cell r="S1181">
            <v>45905</v>
          </cell>
          <cell r="T1181">
            <v>45905</v>
          </cell>
          <cell r="V1181" t="str">
            <v>마감미장</v>
          </cell>
        </row>
        <row r="1182">
          <cell r="A1182" t="str">
            <v>박채헌</v>
          </cell>
          <cell r="B1182" t="str">
            <v>의정부시 시민로156번길26,501호</v>
          </cell>
          <cell r="C1182" t="str">
            <v>671213-1226613</v>
          </cell>
          <cell r="D1182" t="str">
            <v>010-6564-1950</v>
          </cell>
          <cell r="E1182">
            <v>500000</v>
          </cell>
          <cell r="F1182" t="str">
            <v>남</v>
          </cell>
          <cell r="G1182">
            <v>60</v>
          </cell>
          <cell r="H1182" t="str">
            <v>-</v>
          </cell>
          <cell r="J1182" t="str">
            <v>마감미장</v>
          </cell>
          <cell r="K1182" t="str">
            <v>대우건기</v>
          </cell>
          <cell r="L1182" t="str">
            <v>201016-56-150267</v>
          </cell>
          <cell r="M1182" t="str">
            <v>농협은행</v>
          </cell>
          <cell r="N1182" t="str">
            <v>박채헌</v>
          </cell>
          <cell r="O1182">
            <v>41516</v>
          </cell>
          <cell r="Q1182" t="str">
            <v/>
          </cell>
          <cell r="S1182">
            <v>45905</v>
          </cell>
          <cell r="T1182">
            <v>45905</v>
          </cell>
          <cell r="V1182" t="str">
            <v>마감미장</v>
          </cell>
        </row>
        <row r="1183">
          <cell r="A1183" t="str">
            <v>한승요</v>
          </cell>
          <cell r="B1183" t="str">
            <v>고양시 일산동구 성석로15-9,105-302</v>
          </cell>
          <cell r="C1183" t="str">
            <v>841008-1070315</v>
          </cell>
          <cell r="D1183" t="str">
            <v>010-7523-9870</v>
          </cell>
          <cell r="E1183">
            <v>500000</v>
          </cell>
          <cell r="F1183" t="str">
            <v>남</v>
          </cell>
          <cell r="G1183">
            <v>43</v>
          </cell>
          <cell r="H1183" t="str">
            <v>-</v>
          </cell>
          <cell r="J1183" t="str">
            <v>마감미장</v>
          </cell>
          <cell r="K1183" t="str">
            <v>대우건기</v>
          </cell>
          <cell r="L1183" t="str">
            <v>377-098523-01-011</v>
          </cell>
          <cell r="M1183" t="str">
            <v>기업은행</v>
          </cell>
          <cell r="N1183" t="str">
            <v>한승요</v>
          </cell>
          <cell r="Q1183" t="str">
            <v/>
          </cell>
          <cell r="S1183">
            <v>45912</v>
          </cell>
          <cell r="T1183">
            <v>45912</v>
          </cell>
          <cell r="V1183" t="str">
            <v>마감미장</v>
          </cell>
        </row>
        <row r="1184">
          <cell r="A1184" t="str">
            <v>강경웅</v>
          </cell>
          <cell r="B1184" t="str">
            <v>서울시 중랑구 사가정로64길6,5층501호</v>
          </cell>
          <cell r="C1184" t="str">
            <v>900721-1024115</v>
          </cell>
          <cell r="D1184" t="str">
            <v>010-8387-5059</v>
          </cell>
          <cell r="E1184">
            <v>500000</v>
          </cell>
          <cell r="F1184" t="str">
            <v>남</v>
          </cell>
          <cell r="G1184">
            <v>37</v>
          </cell>
          <cell r="H1184" t="str">
            <v>-</v>
          </cell>
          <cell r="J1184" t="str">
            <v>마감미장</v>
          </cell>
          <cell r="K1184" t="str">
            <v>대우건기</v>
          </cell>
          <cell r="L1184" t="str">
            <v>110-428-840346</v>
          </cell>
          <cell r="M1184" t="str">
            <v>신한은행</v>
          </cell>
          <cell r="N1184" t="str">
            <v>강경웅</v>
          </cell>
          <cell r="O1184">
            <v>41856</v>
          </cell>
          <cell r="Q1184" t="str">
            <v/>
          </cell>
          <cell r="S1184">
            <v>45912</v>
          </cell>
          <cell r="T1184">
            <v>45912</v>
          </cell>
          <cell r="V1184" t="str">
            <v>마감미장</v>
          </cell>
        </row>
        <row r="1185">
          <cell r="A1185" t="str">
            <v>강지웅</v>
          </cell>
          <cell r="B1185" t="str">
            <v>서울시 도봉구 방학동689-8</v>
          </cell>
          <cell r="C1185" t="str">
            <v>930914-1010213</v>
          </cell>
          <cell r="D1185" t="str">
            <v>010-3360-3814</v>
          </cell>
          <cell r="E1185">
            <v>500000</v>
          </cell>
          <cell r="F1185" t="str">
            <v>남</v>
          </cell>
          <cell r="G1185">
            <v>34</v>
          </cell>
          <cell r="H1185" t="str">
            <v>-</v>
          </cell>
          <cell r="J1185" t="str">
            <v>마감미장</v>
          </cell>
          <cell r="K1185" t="str">
            <v>대우건기</v>
          </cell>
          <cell r="L1185" t="str">
            <v>110-356-218255</v>
          </cell>
          <cell r="M1185" t="str">
            <v>신한은행</v>
          </cell>
          <cell r="N1185" t="str">
            <v>강지웅</v>
          </cell>
          <cell r="O1185">
            <v>41822</v>
          </cell>
          <cell r="Q1185" t="str">
            <v/>
          </cell>
          <cell r="S1185">
            <v>45912</v>
          </cell>
          <cell r="T1185">
            <v>45912</v>
          </cell>
          <cell r="V1185" t="str">
            <v>마감미장</v>
          </cell>
        </row>
        <row r="1186">
          <cell r="A1186" t="str">
            <v>김중건</v>
          </cell>
          <cell r="B1186" t="str">
            <v>안산시 상록구 성호로8길46,302호</v>
          </cell>
          <cell r="C1186" t="str">
            <v>680201-1030021</v>
          </cell>
          <cell r="D1186" t="str">
            <v>010-4217-1368</v>
          </cell>
          <cell r="E1186">
            <v>500000</v>
          </cell>
          <cell r="F1186" t="str">
            <v>남</v>
          </cell>
          <cell r="G1186">
            <v>59</v>
          </cell>
          <cell r="H1186" t="str">
            <v>-</v>
          </cell>
          <cell r="J1186" t="str">
            <v>마감미장</v>
          </cell>
          <cell r="K1186" t="str">
            <v>대우건기</v>
          </cell>
          <cell r="L1186" t="str">
            <v>1002-008-644048</v>
          </cell>
          <cell r="M1186" t="str">
            <v>우리은행</v>
          </cell>
          <cell r="N1186" t="str">
            <v>김중건</v>
          </cell>
          <cell r="O1186">
            <v>41674</v>
          </cell>
          <cell r="Q1186" t="str">
            <v/>
          </cell>
          <cell r="S1186">
            <v>45926</v>
          </cell>
          <cell r="T1186">
            <v>45926</v>
          </cell>
          <cell r="V1186" t="str">
            <v>마감미장</v>
          </cell>
        </row>
        <row r="1187">
          <cell r="A1187" t="str">
            <v>최동국</v>
          </cell>
          <cell r="B1187" t="str">
            <v>서울 중랑구 면목로33길 74-8</v>
          </cell>
          <cell r="C1187" t="str">
            <v>691012-1381010</v>
          </cell>
          <cell r="D1187" t="str">
            <v>010-9435-7819</v>
          </cell>
          <cell r="E1187">
            <v>500000</v>
          </cell>
          <cell r="F1187" t="str">
            <v>남</v>
          </cell>
          <cell r="G1187">
            <v>58</v>
          </cell>
          <cell r="H1187" t="str">
            <v>-</v>
          </cell>
          <cell r="J1187" t="str">
            <v>마감미장</v>
          </cell>
          <cell r="K1187" t="str">
            <v>대우건기</v>
          </cell>
          <cell r="L1187" t="str">
            <v>170574-52-116114</v>
          </cell>
          <cell r="M1187" t="str">
            <v>농협은행</v>
          </cell>
          <cell r="N1187" t="str">
            <v>최동국</v>
          </cell>
          <cell r="O1187">
            <v>41407</v>
          </cell>
          <cell r="Q1187" t="str">
            <v/>
          </cell>
          <cell r="R1187">
            <v>45954</v>
          </cell>
          <cell r="S1187">
            <v>45954</v>
          </cell>
          <cell r="T1187">
            <v>45954</v>
          </cell>
          <cell r="V1187" t="str">
            <v>마감미장</v>
          </cell>
        </row>
        <row r="1188">
          <cell r="A1188" t="str">
            <v>오승현</v>
          </cell>
          <cell r="B1188" t="str">
            <v>경기도 의정부시 망월로 77</v>
          </cell>
          <cell r="C1188" t="str">
            <v>930607-1020825</v>
          </cell>
          <cell r="E1188">
            <v>500000</v>
          </cell>
          <cell r="F1188" t="str">
            <v>남</v>
          </cell>
          <cell r="G1188">
            <v>34</v>
          </cell>
          <cell r="H1188" t="str">
            <v>-</v>
          </cell>
          <cell r="J1188" t="str">
            <v>마감미장</v>
          </cell>
          <cell r="K1188" t="str">
            <v>대우건기</v>
          </cell>
          <cell r="L1188" t="str">
            <v>060-120352-01-019</v>
          </cell>
          <cell r="M1188" t="str">
            <v>기업은행</v>
          </cell>
          <cell r="N1188" t="str">
            <v>오승현</v>
          </cell>
          <cell r="O1188">
            <v>42251</v>
          </cell>
          <cell r="Q1188" t="str">
            <v/>
          </cell>
          <cell r="S1188">
            <v>45958</v>
          </cell>
          <cell r="T1188">
            <v>45958</v>
          </cell>
          <cell r="V1188" t="str">
            <v>마감미장</v>
          </cell>
        </row>
        <row r="1189">
          <cell r="A1189" t="str">
            <v>김수영</v>
          </cell>
          <cell r="B1189" t="str">
            <v>경기도 의정부시 평화로483번길22</v>
          </cell>
          <cell r="C1189" t="str">
            <v>940318-1484013</v>
          </cell>
          <cell r="E1189">
            <v>500000</v>
          </cell>
          <cell r="F1189" t="str">
            <v>남</v>
          </cell>
          <cell r="G1189">
            <v>33</v>
          </cell>
          <cell r="H1189" t="str">
            <v>-</v>
          </cell>
          <cell r="J1189" t="str">
            <v>마감미장</v>
          </cell>
          <cell r="K1189" t="str">
            <v>대우건기</v>
          </cell>
          <cell r="L1189" t="str">
            <v>356-1274-9601-23</v>
          </cell>
          <cell r="M1189" t="str">
            <v>농협은행</v>
          </cell>
          <cell r="N1189" t="str">
            <v>김수영</v>
          </cell>
          <cell r="O1189">
            <v>45286</v>
          </cell>
          <cell r="Q1189" t="str">
            <v/>
          </cell>
          <cell r="S1189">
            <v>45958</v>
          </cell>
          <cell r="T1189">
            <v>45958</v>
          </cell>
          <cell r="V1189" t="str">
            <v>마감미장</v>
          </cell>
        </row>
        <row r="1190">
          <cell r="A1190" t="str">
            <v>정지모</v>
          </cell>
          <cell r="B1190" t="str">
            <v>경기도 안산시 상록구 선진로 108</v>
          </cell>
          <cell r="C1190" t="str">
            <v>781015-1538431</v>
          </cell>
          <cell r="D1190" t="str">
            <v>010-3284-0124</v>
          </cell>
          <cell r="E1190">
            <v>500000</v>
          </cell>
          <cell r="F1190" t="str">
            <v>남</v>
          </cell>
          <cell r="G1190">
            <v>49</v>
          </cell>
          <cell r="H1190" t="str">
            <v>-</v>
          </cell>
          <cell r="J1190" t="str">
            <v>마감미장</v>
          </cell>
          <cell r="K1190" t="str">
            <v>대우건기</v>
          </cell>
          <cell r="L1190" t="str">
            <v>845-182841-02-001</v>
          </cell>
          <cell r="M1190" t="str">
            <v>우리은행</v>
          </cell>
          <cell r="N1190" t="str">
            <v>정지모</v>
          </cell>
          <cell r="O1190">
            <v>41071</v>
          </cell>
          <cell r="Q1190" t="str">
            <v/>
          </cell>
          <cell r="S1190">
            <v>45966</v>
          </cell>
          <cell r="T1190">
            <v>45966</v>
          </cell>
          <cell r="V1190" t="str">
            <v>마감미장</v>
          </cell>
        </row>
        <row r="1191">
          <cell r="A1191" t="str">
            <v>홍재관</v>
          </cell>
          <cell r="B1191" t="str">
            <v xml:space="preserve">서울 강서구 우장산로47 </v>
          </cell>
          <cell r="C1191" t="str">
            <v>621206-1522529</v>
          </cell>
          <cell r="D1191" t="str">
            <v>010-3705-7185</v>
          </cell>
          <cell r="E1191">
            <v>500000</v>
          </cell>
          <cell r="F1191" t="str">
            <v>남</v>
          </cell>
          <cell r="G1191">
            <v>65</v>
          </cell>
          <cell r="H1191" t="str">
            <v>-</v>
          </cell>
          <cell r="J1191" t="str">
            <v>마감미장</v>
          </cell>
          <cell r="K1191" t="str">
            <v>대우건기</v>
          </cell>
          <cell r="L1191" t="str">
            <v>368-810387-60107</v>
          </cell>
          <cell r="M1191" t="str">
            <v>하나은행</v>
          </cell>
          <cell r="N1191" t="str">
            <v>홍재관</v>
          </cell>
          <cell r="O1191">
            <v>41394</v>
          </cell>
          <cell r="Q1191" t="str">
            <v/>
          </cell>
          <cell r="R1191">
            <v>45971</v>
          </cell>
          <cell r="S1191">
            <v>45971</v>
          </cell>
          <cell r="T1191">
            <v>45971</v>
          </cell>
          <cell r="V1191" t="str">
            <v>마감미장</v>
          </cell>
        </row>
        <row r="1192">
          <cell r="A1192" t="str">
            <v>천기산</v>
          </cell>
          <cell r="B1192" t="str">
            <v>경기 안산 단원구 화정천서로2 9-1,302</v>
          </cell>
          <cell r="C1192" t="str">
            <v>600823-1523211</v>
          </cell>
          <cell r="D1192" t="str">
            <v>010-3793-3998</v>
          </cell>
          <cell r="E1192">
            <v>500000</v>
          </cell>
          <cell r="F1192" t="str">
            <v>남</v>
          </cell>
          <cell r="G1192">
            <v>67</v>
          </cell>
          <cell r="H1192" t="str">
            <v>-</v>
          </cell>
          <cell r="J1192" t="str">
            <v>마감미장</v>
          </cell>
          <cell r="K1192" t="str">
            <v>대우건기</v>
          </cell>
          <cell r="L1192" t="str">
            <v>010-3793-3998</v>
          </cell>
          <cell r="M1192" t="str">
            <v>기업은행</v>
          </cell>
          <cell r="N1192" t="str">
            <v>천기산</v>
          </cell>
          <cell r="O1192">
            <v>41290</v>
          </cell>
          <cell r="Q1192" t="str">
            <v/>
          </cell>
          <cell r="R1192">
            <v>45975</v>
          </cell>
          <cell r="S1192">
            <v>45975</v>
          </cell>
          <cell r="T1192">
            <v>45975</v>
          </cell>
          <cell r="V1192" t="str">
            <v>마감미장</v>
          </cell>
        </row>
        <row r="1193">
          <cell r="A1193" t="str">
            <v>송민구</v>
          </cell>
          <cell r="B1193" t="str">
            <v>경기 시흥 수인로3413-37, A-403</v>
          </cell>
          <cell r="C1193" t="str">
            <v>620717-1069634</v>
          </cell>
          <cell r="D1193" t="str">
            <v>010-2358-3705</v>
          </cell>
          <cell r="E1193">
            <v>500000</v>
          </cell>
          <cell r="F1193" t="str">
            <v>남</v>
          </cell>
          <cell r="G1193">
            <v>65</v>
          </cell>
          <cell r="H1193" t="str">
            <v>-</v>
          </cell>
          <cell r="J1193" t="str">
            <v>마감미장</v>
          </cell>
          <cell r="K1193" t="str">
            <v>대우건기</v>
          </cell>
          <cell r="L1193" t="str">
            <v>132-078-857723</v>
          </cell>
          <cell r="M1193" t="str">
            <v>신협</v>
          </cell>
          <cell r="N1193" t="str">
            <v>송민구</v>
          </cell>
          <cell r="O1193">
            <v>41653</v>
          </cell>
          <cell r="Q1193" t="str">
            <v/>
          </cell>
          <cell r="R1193">
            <v>45975</v>
          </cell>
          <cell r="S1193">
            <v>45975</v>
          </cell>
          <cell r="T1193">
            <v>45975</v>
          </cell>
          <cell r="V1193" t="str">
            <v>마감미장</v>
          </cell>
        </row>
        <row r="1194">
          <cell r="A1194" t="str">
            <v>최종호</v>
          </cell>
          <cell r="B1194" t="str">
            <v>경기 안산 상록구 성호로 20길 12</v>
          </cell>
          <cell r="C1194" t="str">
            <v>621126-1810211</v>
          </cell>
          <cell r="D1194" t="str">
            <v>010-3825-1909</v>
          </cell>
          <cell r="E1194">
            <v>500000</v>
          </cell>
          <cell r="F1194" t="str">
            <v>남</v>
          </cell>
          <cell r="G1194">
            <v>65</v>
          </cell>
          <cell r="H1194" t="str">
            <v>-</v>
          </cell>
          <cell r="J1194" t="str">
            <v>마감미장</v>
          </cell>
          <cell r="K1194" t="str">
            <v>대우건기</v>
          </cell>
          <cell r="L1194" t="str">
            <v>302-1909-1910-51</v>
          </cell>
          <cell r="M1194" t="str">
            <v>농협은행</v>
          </cell>
          <cell r="N1194" t="str">
            <v>최종호</v>
          </cell>
          <cell r="O1194">
            <v>42417</v>
          </cell>
          <cell r="Q1194" t="str">
            <v/>
          </cell>
          <cell r="R1194">
            <v>45980</v>
          </cell>
          <cell r="S1194">
            <v>45980</v>
          </cell>
          <cell r="T1194">
            <v>45980</v>
          </cell>
          <cell r="V1194" t="str">
            <v>마감미장</v>
          </cell>
        </row>
        <row r="1195">
          <cell r="A1195" t="str">
            <v>최정해</v>
          </cell>
          <cell r="B1195" t="str">
            <v>경기 안산 상록구 시낭로4-1, 402호</v>
          </cell>
          <cell r="C1195" t="str">
            <v>910101-1187727</v>
          </cell>
          <cell r="D1195" t="str">
            <v>010-9921-1909</v>
          </cell>
          <cell r="E1195">
            <v>500000</v>
          </cell>
          <cell r="F1195" t="str">
            <v>남</v>
          </cell>
          <cell r="G1195">
            <v>36</v>
          </cell>
          <cell r="H1195" t="str">
            <v>-</v>
          </cell>
          <cell r="J1195" t="str">
            <v>마감미장</v>
          </cell>
          <cell r="K1195" t="str">
            <v>대우건기</v>
          </cell>
          <cell r="L1195" t="str">
            <v>110-293-132462</v>
          </cell>
          <cell r="M1195" t="str">
            <v>신한은행</v>
          </cell>
          <cell r="N1195" t="str">
            <v>최정해</v>
          </cell>
          <cell r="O1195">
            <v>45881</v>
          </cell>
          <cell r="Q1195" t="str">
            <v/>
          </cell>
          <cell r="R1195">
            <v>45980</v>
          </cell>
          <cell r="S1195">
            <v>45980</v>
          </cell>
          <cell r="T1195">
            <v>45980</v>
          </cell>
          <cell r="V1195" t="str">
            <v>마감미장</v>
          </cell>
        </row>
        <row r="1196">
          <cell r="A1196" t="str">
            <v>박흥호</v>
          </cell>
          <cell r="B1196" t="str">
            <v>서울 강서구 마곡동 919-908</v>
          </cell>
          <cell r="C1196" t="str">
            <v>561115-1025421</v>
          </cell>
          <cell r="D1196" t="str">
            <v>010-8834-6104</v>
          </cell>
          <cell r="E1196">
            <v>500000</v>
          </cell>
          <cell r="F1196" t="str">
            <v>남</v>
          </cell>
          <cell r="G1196">
            <v>71</v>
          </cell>
          <cell r="H1196" t="str">
            <v>-</v>
          </cell>
          <cell r="J1196" t="str">
            <v>마감미장</v>
          </cell>
          <cell r="K1196" t="str">
            <v>대우건기</v>
          </cell>
          <cell r="L1196" t="str">
            <v>1010-2735-4600</v>
          </cell>
          <cell r="M1196" t="str">
            <v>수협은행</v>
          </cell>
          <cell r="N1196" t="str">
            <v>(주)우민이엔지</v>
          </cell>
          <cell r="O1196">
            <v>41445</v>
          </cell>
          <cell r="R1196">
            <v>45982</v>
          </cell>
          <cell r="S1196">
            <v>45982</v>
          </cell>
          <cell r="T1196">
            <v>45982</v>
          </cell>
          <cell r="V1196" t="str">
            <v>마감미장</v>
          </cell>
        </row>
        <row r="1197">
          <cell r="A1197" t="str">
            <v>손원호</v>
          </cell>
          <cell r="B1197" t="str">
            <v>서울 강서구 마곡서1로 132, 301-913</v>
          </cell>
          <cell r="C1197" t="str">
            <v>551111-1025526</v>
          </cell>
          <cell r="D1197" t="str">
            <v>010-7145-9191</v>
          </cell>
          <cell r="E1197">
            <v>500000</v>
          </cell>
          <cell r="F1197" t="str">
            <v>남</v>
          </cell>
          <cell r="G1197">
            <v>72</v>
          </cell>
          <cell r="H1197" t="str">
            <v>-</v>
          </cell>
          <cell r="J1197" t="str">
            <v>마감미장</v>
          </cell>
          <cell r="K1197" t="str">
            <v>대우건기</v>
          </cell>
          <cell r="L1197" t="str">
            <v>352-02-420069</v>
          </cell>
          <cell r="M1197" t="str">
            <v>신한은행</v>
          </cell>
          <cell r="N1197" t="str">
            <v>손원호</v>
          </cell>
          <cell r="O1197">
            <v>41445</v>
          </cell>
          <cell r="R1197">
            <v>45985</v>
          </cell>
          <cell r="S1197">
            <v>45985</v>
          </cell>
          <cell r="T1197">
            <v>45985</v>
          </cell>
          <cell r="V1197" t="str">
            <v>마감미장</v>
          </cell>
        </row>
        <row r="1198">
          <cell r="A1198" t="str">
            <v>이수용</v>
          </cell>
          <cell r="B1198" t="str">
            <v>경기 양주 백석읍 꿈나무로311,208-1207</v>
          </cell>
          <cell r="C1198" t="str">
            <v>710705-1476413</v>
          </cell>
          <cell r="D1198" t="str">
            <v>010-3763-9728</v>
          </cell>
          <cell r="E1198">
            <v>500000</v>
          </cell>
          <cell r="F1198" t="str">
            <v>남</v>
          </cell>
          <cell r="G1198">
            <v>56</v>
          </cell>
          <cell r="H1198" t="str">
            <v>-</v>
          </cell>
          <cell r="J1198" t="str">
            <v>마감미장</v>
          </cell>
          <cell r="K1198" t="str">
            <v>대우건기</v>
          </cell>
          <cell r="O1198">
            <v>41477</v>
          </cell>
          <cell r="Q1198" t="str">
            <v/>
          </cell>
          <cell r="R1198">
            <v>46064</v>
          </cell>
          <cell r="S1198">
            <v>46064</v>
          </cell>
          <cell r="T1198">
            <v>46064</v>
          </cell>
          <cell r="V1198" t="str">
            <v>마감미장</v>
          </cell>
        </row>
        <row r="1199">
          <cell r="A1199" t="str">
            <v>이광준</v>
          </cell>
          <cell r="B1199" t="str">
            <v>인천 부평구 마곡로 16-11</v>
          </cell>
          <cell r="C1199" t="str">
            <v>681116-1068118</v>
          </cell>
          <cell r="D1199" t="str">
            <v>010-7588-4119</v>
          </cell>
          <cell r="E1199">
            <v>500000</v>
          </cell>
          <cell r="F1199" t="str">
            <v>남</v>
          </cell>
          <cell r="G1199">
            <v>59</v>
          </cell>
          <cell r="H1199" t="str">
            <v>-</v>
          </cell>
          <cell r="J1199" t="str">
            <v>마감미장</v>
          </cell>
          <cell r="K1199" t="str">
            <v>대우건기</v>
          </cell>
          <cell r="O1199">
            <v>42767</v>
          </cell>
          <cell r="Q1199" t="str">
            <v/>
          </cell>
          <cell r="R1199">
            <v>46083</v>
          </cell>
          <cell r="S1199">
            <v>46083</v>
          </cell>
          <cell r="T1199">
            <v>46083</v>
          </cell>
          <cell r="V1199" t="str">
            <v>마감미장</v>
          </cell>
        </row>
        <row r="1200">
          <cell r="A1200" t="str">
            <v>김홍철</v>
          </cell>
          <cell r="B1200" t="str">
            <v>강원 원주시 흥양로51번길 16,303-304</v>
          </cell>
          <cell r="C1200" t="str">
            <v>610317-1268311</v>
          </cell>
          <cell r="E1200">
            <v>500000</v>
          </cell>
          <cell r="F1200" t="str">
            <v>남</v>
          </cell>
          <cell r="G1200">
            <v>66</v>
          </cell>
          <cell r="H1200" t="str">
            <v>-</v>
          </cell>
          <cell r="J1200" t="str">
            <v>마감미장</v>
          </cell>
          <cell r="K1200" t="str">
            <v>대우건기</v>
          </cell>
          <cell r="L1200" t="str">
            <v>351-4138-4538-83</v>
          </cell>
          <cell r="M1200" t="str">
            <v>농협은행</v>
          </cell>
          <cell r="N1200" t="str">
            <v>김홍철</v>
          </cell>
          <cell r="O1200">
            <v>41365</v>
          </cell>
          <cell r="R1200">
            <v>46112</v>
          </cell>
          <cell r="S1200">
            <v>46112</v>
          </cell>
          <cell r="T1200">
            <v>46112</v>
          </cell>
          <cell r="V1200" t="str">
            <v>마감미장</v>
          </cell>
        </row>
        <row r="1201">
          <cell r="A1201" t="str">
            <v>엄종민</v>
          </cell>
          <cell r="B1201" t="str">
            <v>인천 서구 청라커낼로300 , A-2506</v>
          </cell>
          <cell r="C1201" t="str">
            <v>851127-1151621</v>
          </cell>
          <cell r="D1201" t="str">
            <v>010-5789-2535</v>
          </cell>
          <cell r="E1201">
            <v>500000</v>
          </cell>
          <cell r="F1201" t="str">
            <v>남</v>
          </cell>
          <cell r="G1201">
            <v>42</v>
          </cell>
          <cell r="H1201" t="str">
            <v>-</v>
          </cell>
          <cell r="J1201" t="str">
            <v>마감미장</v>
          </cell>
          <cell r="K1201" t="str">
            <v>대우건기</v>
          </cell>
          <cell r="L1201" t="str">
            <v>XXXX 352-0914-2882-03</v>
          </cell>
          <cell r="M1201" t="str">
            <v>농협은행</v>
          </cell>
          <cell r="N1201" t="str">
            <v>엄영학</v>
          </cell>
          <cell r="O1201">
            <v>44982</v>
          </cell>
          <cell r="R1201">
            <v>46111</v>
          </cell>
          <cell r="S1201">
            <v>46111</v>
          </cell>
          <cell r="T1201">
            <v>46111</v>
          </cell>
          <cell r="V1201" t="str">
            <v>마감미장</v>
          </cell>
        </row>
        <row r="1202">
          <cell r="A1202" t="str">
            <v>김명길</v>
          </cell>
          <cell r="B1202" t="str">
            <v>경기 구리시 체육관로 153번길 12</v>
          </cell>
          <cell r="C1202" t="str">
            <v>671213-1663521</v>
          </cell>
          <cell r="D1202" t="str">
            <v>010-5305-2630</v>
          </cell>
          <cell r="E1202">
            <v>500000</v>
          </cell>
          <cell r="F1202" t="str">
            <v>남</v>
          </cell>
          <cell r="G1202">
            <v>60</v>
          </cell>
          <cell r="H1202" t="str">
            <v>-</v>
          </cell>
          <cell r="J1202" t="str">
            <v>바닥미장</v>
          </cell>
          <cell r="K1202" t="str">
            <v>대우건기</v>
          </cell>
          <cell r="L1202" t="str">
            <v>038701-04-372376</v>
          </cell>
          <cell r="M1202" t="str">
            <v>국민은행</v>
          </cell>
          <cell r="N1202" t="str">
            <v>김명길</v>
          </cell>
          <cell r="O1202">
            <v>41436</v>
          </cell>
          <cell r="R1202">
            <v>46127</v>
          </cell>
          <cell r="S1202">
            <v>46127</v>
          </cell>
          <cell r="T1202">
            <v>46127</v>
          </cell>
          <cell r="V1202" t="str">
            <v>미장공</v>
          </cell>
        </row>
        <row r="1203">
          <cell r="A1203" t="str">
            <v>이경보</v>
          </cell>
          <cell r="B1203" t="str">
            <v>서울 노원구 상계로9가길 61-26, 1층</v>
          </cell>
          <cell r="C1203" t="str">
            <v>791012-1031417</v>
          </cell>
          <cell r="D1203" t="str">
            <v>010-7224-0959</v>
          </cell>
          <cell r="E1203">
            <v>500000</v>
          </cell>
          <cell r="F1203" t="str">
            <v>남</v>
          </cell>
          <cell r="G1203">
            <v>48</v>
          </cell>
          <cell r="H1203" t="str">
            <v>-</v>
          </cell>
          <cell r="J1203" t="str">
            <v>마감미장</v>
          </cell>
          <cell r="K1203" t="str">
            <v>대우건기</v>
          </cell>
          <cell r="L1203" t="str">
            <v>192-173985-02-001</v>
          </cell>
          <cell r="M1203" t="str">
            <v>우리은행</v>
          </cell>
          <cell r="N1203" t="str">
            <v>이경보</v>
          </cell>
          <cell r="O1203">
            <v>45022</v>
          </cell>
          <cell r="R1203">
            <v>46134</v>
          </cell>
          <cell r="S1203">
            <v>46134</v>
          </cell>
          <cell r="T1203">
            <v>46134</v>
          </cell>
          <cell r="V1203" t="str">
            <v>미장공</v>
          </cell>
        </row>
        <row r="1204">
          <cell r="A1204" t="str">
            <v>신완철</v>
          </cell>
          <cell r="B1204" t="str">
            <v>경기 고양 덕양구 화신로 33, 203-804</v>
          </cell>
          <cell r="C1204" t="str">
            <v>621029-1522619</v>
          </cell>
          <cell r="D1204" t="str">
            <v>010-3401-6023</v>
          </cell>
          <cell r="E1204">
            <v>500000</v>
          </cell>
          <cell r="F1204" t="str">
            <v>남</v>
          </cell>
          <cell r="G1204">
            <v>65</v>
          </cell>
          <cell r="H1204" t="str">
            <v>-</v>
          </cell>
          <cell r="J1204" t="str">
            <v>마감미장</v>
          </cell>
          <cell r="K1204" t="str">
            <v>대우건기</v>
          </cell>
          <cell r="L1204" t="str">
            <v>229-890680-61407</v>
          </cell>
          <cell r="M1204" t="str">
            <v>하나은행</v>
          </cell>
          <cell r="N1204" t="str">
            <v>신완철</v>
          </cell>
          <cell r="O1204">
            <v>41683</v>
          </cell>
          <cell r="R1204">
            <v>46134</v>
          </cell>
          <cell r="S1204">
            <v>46134</v>
          </cell>
          <cell r="T1204">
            <v>46134</v>
          </cell>
          <cell r="V1204" t="str">
            <v>미장공</v>
          </cell>
        </row>
        <row r="1205">
          <cell r="A1205" t="str">
            <v>이완상</v>
          </cell>
          <cell r="B1205" t="str">
            <v>경기 화성시 동탄기흥로 590,A920호</v>
          </cell>
          <cell r="C1205" t="str">
            <v>680819-1522428</v>
          </cell>
          <cell r="D1205" t="str">
            <v>010-5028-4971</v>
          </cell>
          <cell r="E1205">
            <v>500000</v>
          </cell>
          <cell r="F1205" t="str">
            <v>남</v>
          </cell>
          <cell r="G1205">
            <v>59</v>
          </cell>
          <cell r="H1205" t="str">
            <v>-</v>
          </cell>
          <cell r="J1205" t="str">
            <v>마감미장</v>
          </cell>
          <cell r="K1205" t="str">
            <v>대우건기</v>
          </cell>
          <cell r="L1205" t="str">
            <v>1002-059-814553</v>
          </cell>
          <cell r="M1205" t="str">
            <v>우리은행</v>
          </cell>
          <cell r="N1205" t="str">
            <v>이완상</v>
          </cell>
          <cell r="O1205">
            <v>41129</v>
          </cell>
          <cell r="R1205">
            <v>46146</v>
          </cell>
          <cell r="S1205">
            <v>46146</v>
          </cell>
          <cell r="T1205">
            <v>46146</v>
          </cell>
          <cell r="V1205" t="str">
            <v>미장공</v>
          </cell>
        </row>
        <row r="1206">
          <cell r="A1206" t="str">
            <v>김홍진</v>
          </cell>
          <cell r="B1206" t="str">
            <v>경기 광명시 광오로17번길 11-31</v>
          </cell>
          <cell r="C1206" t="str">
            <v>680705-1268312</v>
          </cell>
          <cell r="D1206" t="str">
            <v>010-2122-2033</v>
          </cell>
          <cell r="E1206">
            <v>500000</v>
          </cell>
          <cell r="F1206" t="str">
            <v>남</v>
          </cell>
          <cell r="G1206">
            <v>59</v>
          </cell>
          <cell r="H1206" t="str">
            <v>-</v>
          </cell>
          <cell r="J1206" t="str">
            <v>바닥미장</v>
          </cell>
          <cell r="K1206" t="str">
            <v>대우건기</v>
          </cell>
          <cell r="O1206">
            <v>41110</v>
          </cell>
          <cell r="R1206">
            <v>46164</v>
          </cell>
          <cell r="S1206">
            <v>46164</v>
          </cell>
          <cell r="T1206">
            <v>46164</v>
          </cell>
          <cell r="V1206" t="str">
            <v>미장공</v>
          </cell>
        </row>
        <row r="1207">
          <cell r="A1207" t="str">
            <v>김재국</v>
          </cell>
          <cell r="B1207" t="str">
            <v>인천 부평구 섭정동 180-38, 903</v>
          </cell>
          <cell r="C1207" t="str">
            <v>920525-1158221</v>
          </cell>
          <cell r="D1207" t="str">
            <v>010-5527-9794</v>
          </cell>
          <cell r="E1207">
            <v>500000</v>
          </cell>
          <cell r="F1207" t="str">
            <v>남</v>
          </cell>
          <cell r="G1207">
            <v>35</v>
          </cell>
          <cell r="H1207" t="str">
            <v>-</v>
          </cell>
          <cell r="J1207" t="str">
            <v>바닥미장</v>
          </cell>
          <cell r="K1207" t="str">
            <v>대우건기</v>
          </cell>
          <cell r="O1207">
            <v>44362</v>
          </cell>
          <cell r="R1207">
            <v>46171</v>
          </cell>
          <cell r="S1207">
            <v>46171</v>
          </cell>
          <cell r="T1207">
            <v>46171</v>
          </cell>
          <cell r="V1207" t="str">
            <v>미장공</v>
          </cell>
        </row>
        <row r="1208">
          <cell r="A1208" t="str">
            <v>양동문</v>
          </cell>
          <cell r="B1208" t="str">
            <v>경기 성남시 수정구 상적동 276-10</v>
          </cell>
          <cell r="C1208" t="str">
            <v>580904-1483112</v>
          </cell>
          <cell r="D1208" t="str">
            <v>010-3934-2482</v>
          </cell>
          <cell r="E1208">
            <v>500000</v>
          </cell>
          <cell r="F1208" t="str">
            <v>남</v>
          </cell>
          <cell r="G1208">
            <v>69</v>
          </cell>
          <cell r="H1208" t="str">
            <v>-</v>
          </cell>
          <cell r="J1208" t="str">
            <v>바닥미장</v>
          </cell>
          <cell r="K1208" t="str">
            <v>대우건기</v>
          </cell>
          <cell r="L1208" t="str">
            <v>279-24-0061-902</v>
          </cell>
          <cell r="M1208" t="str">
            <v>국민은행</v>
          </cell>
          <cell r="N1208" t="str">
            <v>양동문</v>
          </cell>
          <cell r="O1208">
            <v>42453</v>
          </cell>
          <cell r="R1208">
            <v>46178</v>
          </cell>
          <cell r="S1208">
            <v>46178</v>
          </cell>
          <cell r="T1208">
            <v>46178</v>
          </cell>
          <cell r="V1208" t="str">
            <v>미장공</v>
          </cell>
        </row>
        <row r="1209">
          <cell r="A1209" t="str">
            <v>박운결</v>
          </cell>
          <cell r="B1209" t="str">
            <v>경기 파주 문산읍 봉미로45, 101-306</v>
          </cell>
          <cell r="C1209" t="str">
            <v>710416-1058416</v>
          </cell>
          <cell r="D1209" t="str">
            <v>010-9560-9254</v>
          </cell>
          <cell r="E1209">
            <v>500000</v>
          </cell>
          <cell r="F1209" t="str">
            <v>남</v>
          </cell>
          <cell r="G1209">
            <v>56</v>
          </cell>
          <cell r="H1209" t="str">
            <v>-</v>
          </cell>
          <cell r="J1209" t="str">
            <v>바닥미장</v>
          </cell>
          <cell r="K1209" t="str">
            <v>대우건기</v>
          </cell>
          <cell r="L1209" t="str">
            <v>215070-51-063886</v>
          </cell>
          <cell r="M1209" t="str">
            <v>농협</v>
          </cell>
          <cell r="N1209" t="str">
            <v>박운결</v>
          </cell>
          <cell r="O1209">
            <v>41491</v>
          </cell>
          <cell r="R1209">
            <v>46181</v>
          </cell>
          <cell r="S1209">
            <v>46181</v>
          </cell>
          <cell r="T1209">
            <v>46181</v>
          </cell>
        </row>
        <row r="1210">
          <cell r="A1210" t="str">
            <v>박종혁</v>
          </cell>
          <cell r="B1210" t="str">
            <v>경기 안산 상록구 안산천동로1길 9, 8-203</v>
          </cell>
          <cell r="C1210" t="str">
            <v>950225-1013129</v>
          </cell>
          <cell r="D1210" t="str">
            <v>010-5396-2359</v>
          </cell>
          <cell r="E1210">
            <v>500000</v>
          </cell>
          <cell r="F1210" t="str">
            <v>남</v>
          </cell>
          <cell r="G1210">
            <v>32</v>
          </cell>
          <cell r="H1210" t="str">
            <v>-</v>
          </cell>
          <cell r="J1210" t="str">
            <v>바닥미장</v>
          </cell>
          <cell r="K1210" t="str">
            <v>대우건기</v>
          </cell>
          <cell r="L1210" t="str">
            <v>666202-01-847279</v>
          </cell>
          <cell r="M1210" t="str">
            <v>국민은행</v>
          </cell>
          <cell r="N1210" t="str">
            <v>박종혁</v>
          </cell>
          <cell r="O1210">
            <v>43859</v>
          </cell>
          <cell r="R1210">
            <v>46191</v>
          </cell>
          <cell r="S1210">
            <v>46191</v>
          </cell>
          <cell r="T1210">
            <v>46191</v>
          </cell>
          <cell r="V1210" t="str">
            <v>미장공</v>
          </cell>
        </row>
        <row r="1211">
          <cell r="A1211" t="str">
            <v>이세원</v>
          </cell>
          <cell r="B1211" t="str">
            <v>경기 남양주시 도농로 71, 702-201</v>
          </cell>
          <cell r="C1211" t="str">
            <v>710211-1143810</v>
          </cell>
          <cell r="D1211" t="str">
            <v>010-3429-2133</v>
          </cell>
          <cell r="E1211">
            <v>500000</v>
          </cell>
          <cell r="F1211" t="str">
            <v>남</v>
          </cell>
          <cell r="G1211">
            <v>56</v>
          </cell>
          <cell r="H1211" t="str">
            <v>-</v>
          </cell>
          <cell r="J1211" t="str">
            <v>바닥미장</v>
          </cell>
          <cell r="K1211" t="str">
            <v>대우건기</v>
          </cell>
          <cell r="L1211" t="str">
            <v>137-002-090913</v>
          </cell>
          <cell r="M1211" t="str">
            <v>신용협동조합</v>
          </cell>
          <cell r="N1211" t="str">
            <v>이세원</v>
          </cell>
          <cell r="O1211">
            <v>42920</v>
          </cell>
          <cell r="R1211">
            <v>46191</v>
          </cell>
          <cell r="S1211">
            <v>46191</v>
          </cell>
          <cell r="T1211">
            <v>46191</v>
          </cell>
          <cell r="V1211" t="str">
            <v>미장공</v>
          </cell>
        </row>
        <row r="1212">
          <cell r="A1212" t="str">
            <v>류형옥</v>
          </cell>
          <cell r="B1212" t="str">
            <v>경기 의정부시 금신로276, 103-904</v>
          </cell>
          <cell r="C1212" t="str">
            <v>830322-1636712</v>
          </cell>
          <cell r="D1212" t="str">
            <v>010-8920-8987</v>
          </cell>
          <cell r="E1212">
            <v>500000</v>
          </cell>
          <cell r="F1212" t="str">
            <v>남</v>
          </cell>
          <cell r="G1212">
            <v>44</v>
          </cell>
          <cell r="H1212" t="str">
            <v>-</v>
          </cell>
          <cell r="J1212" t="str">
            <v>바닥미장</v>
          </cell>
          <cell r="K1212" t="str">
            <v>대우건기</v>
          </cell>
          <cell r="L1212" t="str">
            <v>008-21-0628-424</v>
          </cell>
          <cell r="M1212" t="str">
            <v>국민은행</v>
          </cell>
          <cell r="N1212" t="str">
            <v>류형옥</v>
          </cell>
          <cell r="O1212">
            <v>46186</v>
          </cell>
          <cell r="R1212">
            <v>46192</v>
          </cell>
          <cell r="S1212">
            <v>46192</v>
          </cell>
          <cell r="T1212">
            <v>46192</v>
          </cell>
          <cell r="V1212" t="str">
            <v>미장공</v>
          </cell>
        </row>
        <row r="1213">
          <cell r="A1213" t="str">
            <v>한상록</v>
          </cell>
          <cell r="B1213" t="str">
            <v>서울 강서구 강서로41길33 301호</v>
          </cell>
          <cell r="C1213" t="str">
            <v>880114-1054017</v>
          </cell>
          <cell r="D1213" t="str">
            <v>010-9256-6752</v>
          </cell>
          <cell r="E1213">
            <v>500000</v>
          </cell>
          <cell r="F1213" t="str">
            <v>남</v>
          </cell>
          <cell r="G1213">
            <v>39</v>
          </cell>
          <cell r="H1213" t="str">
            <v>-</v>
          </cell>
          <cell r="J1213" t="str">
            <v>바닥미장</v>
          </cell>
          <cell r="K1213" t="str">
            <v>대우건기</v>
          </cell>
          <cell r="O1213">
            <v>43070</v>
          </cell>
          <cell r="R1213">
            <v>46213</v>
          </cell>
          <cell r="S1213">
            <v>46213</v>
          </cell>
          <cell r="T1213">
            <v>46213</v>
          </cell>
          <cell r="V1213" t="str">
            <v>미장공</v>
          </cell>
        </row>
        <row r="1214">
          <cell r="F1214" t="str">
            <v/>
          </cell>
          <cell r="G1214" t="str">
            <v/>
          </cell>
          <cell r="H1214" t="str">
            <v/>
          </cell>
          <cell r="Q1214" t="str">
            <v/>
          </cell>
        </row>
        <row r="1215">
          <cell r="F1215" t="str">
            <v/>
          </cell>
          <cell r="G1215" t="str">
            <v/>
          </cell>
          <cell r="H1215" t="str">
            <v/>
          </cell>
          <cell r="Q1215" t="str">
            <v/>
          </cell>
        </row>
        <row r="1216">
          <cell r="F1216" t="str">
            <v/>
          </cell>
          <cell r="G1216" t="str">
            <v/>
          </cell>
          <cell r="H1216" t="str">
            <v/>
          </cell>
          <cell r="Q1216" t="str">
            <v/>
          </cell>
        </row>
        <row r="1217">
          <cell r="A1217" t="str">
            <v>시스템</v>
          </cell>
          <cell r="F1217" t="str">
            <v/>
          </cell>
          <cell r="G1217" t="str">
            <v/>
          </cell>
          <cell r="H1217" t="str">
            <v/>
          </cell>
          <cell r="L1217" t="str">
            <v>301-0172-4771-61</v>
          </cell>
          <cell r="M1217" t="str">
            <v>농협은행</v>
          </cell>
          <cell r="N1217" t="str">
            <v>이정규반석</v>
          </cell>
          <cell r="Q1217" t="str">
            <v/>
          </cell>
        </row>
        <row r="1218">
          <cell r="A1218" t="str">
            <v>이정규시</v>
          </cell>
          <cell r="B1218" t="str">
            <v>수원시 장안구 연무로42번길14-40,201호</v>
          </cell>
          <cell r="C1218" t="str">
            <v>811208-1777713</v>
          </cell>
          <cell r="D1218" t="str">
            <v>010-4878-0904</v>
          </cell>
          <cell r="E1218">
            <v>200000</v>
          </cell>
          <cell r="F1218" t="str">
            <v>남</v>
          </cell>
          <cell r="G1218">
            <v>46</v>
          </cell>
          <cell r="H1218" t="str">
            <v>-</v>
          </cell>
          <cell r="J1218" t="str">
            <v>시스템</v>
          </cell>
          <cell r="K1218" t="str">
            <v>이정규팀</v>
          </cell>
          <cell r="L1218" t="str">
            <v>301-0172-4771-61</v>
          </cell>
          <cell r="M1218" t="str">
            <v>농협은행</v>
          </cell>
          <cell r="N1218" t="str">
            <v>이정규반석</v>
          </cell>
          <cell r="O1218">
            <v>41423</v>
          </cell>
          <cell r="Q1218" t="str">
            <v/>
          </cell>
          <cell r="S1218">
            <v>45901</v>
          </cell>
          <cell r="T1218">
            <v>45901</v>
          </cell>
          <cell r="V1218" t="str">
            <v>시스템서포트공</v>
          </cell>
        </row>
        <row r="1219">
          <cell r="A1219" t="str">
            <v>임동수</v>
          </cell>
          <cell r="B1219" t="str">
            <v>경북 경산시 삼풍로6길13,203호</v>
          </cell>
          <cell r="C1219" t="str">
            <v>741005-1811121</v>
          </cell>
          <cell r="D1219" t="str">
            <v>010-5791-6993</v>
          </cell>
          <cell r="E1219">
            <v>200000</v>
          </cell>
          <cell r="F1219" t="str">
            <v>남</v>
          </cell>
          <cell r="G1219">
            <v>53</v>
          </cell>
          <cell r="H1219" t="str">
            <v>-</v>
          </cell>
          <cell r="J1219" t="str">
            <v>시스템</v>
          </cell>
          <cell r="K1219" t="str">
            <v>이정규팀</v>
          </cell>
          <cell r="L1219" t="str">
            <v>301-0172-4771-61</v>
          </cell>
          <cell r="M1219" t="str">
            <v>농협은행</v>
          </cell>
          <cell r="N1219" t="str">
            <v>이정규반석</v>
          </cell>
          <cell r="O1219">
            <v>41222</v>
          </cell>
          <cell r="Q1219" t="str">
            <v/>
          </cell>
          <cell r="S1219">
            <v>45901</v>
          </cell>
          <cell r="T1219">
            <v>45901</v>
          </cell>
          <cell r="V1219" t="str">
            <v>시스템서포트공</v>
          </cell>
        </row>
        <row r="1220">
          <cell r="A1220" t="str">
            <v>조수빈</v>
          </cell>
          <cell r="B1220" t="str">
            <v>수원시 권선구 동수원로146번길250</v>
          </cell>
          <cell r="C1220" t="str">
            <v>910327-1853231</v>
          </cell>
          <cell r="D1220" t="str">
            <v>010-6564-5235</v>
          </cell>
          <cell r="E1220">
            <v>200000</v>
          </cell>
          <cell r="F1220" t="str">
            <v>남</v>
          </cell>
          <cell r="G1220">
            <v>36</v>
          </cell>
          <cell r="H1220" t="str">
            <v>-</v>
          </cell>
          <cell r="J1220" t="str">
            <v>시스템</v>
          </cell>
          <cell r="K1220" t="str">
            <v>이정규팀</v>
          </cell>
          <cell r="L1220" t="str">
            <v>301-0172-4771-61</v>
          </cell>
          <cell r="M1220" t="str">
            <v>농협은행</v>
          </cell>
          <cell r="N1220" t="str">
            <v>이정규반석</v>
          </cell>
          <cell r="O1220">
            <v>43510</v>
          </cell>
          <cell r="Q1220" t="str">
            <v/>
          </cell>
          <cell r="S1220">
            <v>45901</v>
          </cell>
          <cell r="T1220">
            <v>45901</v>
          </cell>
          <cell r="V1220" t="str">
            <v>시스템서포트공</v>
          </cell>
        </row>
        <row r="1221">
          <cell r="A1221" t="str">
            <v>한명철</v>
          </cell>
          <cell r="B1221" t="str">
            <v>수원시 장안구 창훈로19번길18-10</v>
          </cell>
          <cell r="C1221" t="str">
            <v>840525-1148624</v>
          </cell>
          <cell r="D1221" t="str">
            <v>010-7438-2258</v>
          </cell>
          <cell r="E1221">
            <v>200000</v>
          </cell>
          <cell r="F1221" t="str">
            <v>남</v>
          </cell>
          <cell r="G1221">
            <v>43</v>
          </cell>
          <cell r="H1221" t="str">
            <v>-</v>
          </cell>
          <cell r="J1221" t="str">
            <v>시스템</v>
          </cell>
          <cell r="K1221" t="str">
            <v>이정규팀</v>
          </cell>
          <cell r="L1221" t="str">
            <v>301-0172-4771-61</v>
          </cell>
          <cell r="M1221" t="str">
            <v>농협은행</v>
          </cell>
          <cell r="N1221" t="str">
            <v>이정규반석</v>
          </cell>
          <cell r="O1221">
            <v>41421</v>
          </cell>
          <cell r="Q1221" t="str">
            <v/>
          </cell>
          <cell r="S1221">
            <v>45901</v>
          </cell>
          <cell r="T1221">
            <v>45901</v>
          </cell>
          <cell r="V1221" t="str">
            <v>시스템서포트공</v>
          </cell>
        </row>
        <row r="1222">
          <cell r="A1222" t="str">
            <v>김병태</v>
          </cell>
          <cell r="B1222" t="str">
            <v>대구 동구 신기560 8/1, 보성동원타운1-112</v>
          </cell>
          <cell r="C1222" t="str">
            <v>760616-1810919</v>
          </cell>
          <cell r="D1222" t="str">
            <v>010-7939-6250</v>
          </cell>
          <cell r="E1222">
            <v>200000</v>
          </cell>
          <cell r="F1222" t="str">
            <v>남</v>
          </cell>
          <cell r="G1222">
            <v>51</v>
          </cell>
          <cell r="H1222" t="str">
            <v>-</v>
          </cell>
          <cell r="J1222" t="str">
            <v>시스템</v>
          </cell>
          <cell r="K1222" t="str">
            <v>이정규팀</v>
          </cell>
          <cell r="L1222" t="str">
            <v>301-0172-4771-61</v>
          </cell>
          <cell r="M1222" t="str">
            <v>농협은행</v>
          </cell>
          <cell r="N1222" t="str">
            <v>이정규반석</v>
          </cell>
          <cell r="O1222">
            <v>41423</v>
          </cell>
          <cell r="Q1222" t="str">
            <v/>
          </cell>
          <cell r="S1222">
            <v>45916</v>
          </cell>
          <cell r="T1222">
            <v>45916</v>
          </cell>
          <cell r="V1222" t="str">
            <v>시스템서포트공</v>
          </cell>
        </row>
        <row r="1223">
          <cell r="A1223" t="str">
            <v>곽승득</v>
          </cell>
          <cell r="B1223" t="str">
            <v>수원시 권선구 망포로14,203-102</v>
          </cell>
          <cell r="C1223" t="str">
            <v>860820-1683318</v>
          </cell>
          <cell r="D1223" t="str">
            <v>010-5404-3698</v>
          </cell>
          <cell r="E1223">
            <v>200000</v>
          </cell>
          <cell r="F1223" t="str">
            <v>남</v>
          </cell>
          <cell r="G1223">
            <v>41</v>
          </cell>
          <cell r="H1223" t="str">
            <v>-</v>
          </cell>
          <cell r="J1223" t="str">
            <v>시스템</v>
          </cell>
          <cell r="K1223" t="str">
            <v>이정규팀</v>
          </cell>
          <cell r="L1223" t="str">
            <v>301-0172-4771-61</v>
          </cell>
          <cell r="M1223" t="str">
            <v>농협은행</v>
          </cell>
          <cell r="N1223" t="str">
            <v>이정규반석</v>
          </cell>
          <cell r="O1223">
            <v>41421</v>
          </cell>
          <cell r="Q1223" t="str">
            <v/>
          </cell>
          <cell r="S1223">
            <v>45916</v>
          </cell>
          <cell r="T1223">
            <v>45916</v>
          </cell>
          <cell r="V1223" t="str">
            <v>시스템서포트공</v>
          </cell>
        </row>
        <row r="1224">
          <cell r="A1224" t="str">
            <v>함정수</v>
          </cell>
          <cell r="B1224" t="str">
            <v>수원시 팔달구 인계로108번길39-12,317호</v>
          </cell>
          <cell r="C1224" t="str">
            <v>750313-1811014</v>
          </cell>
          <cell r="D1224" t="str">
            <v>010-9390-4042</v>
          </cell>
          <cell r="E1224">
            <v>200000</v>
          </cell>
          <cell r="F1224" t="str">
            <v>남</v>
          </cell>
          <cell r="G1224">
            <v>52</v>
          </cell>
          <cell r="H1224" t="str">
            <v>-</v>
          </cell>
          <cell r="J1224" t="str">
            <v>시스템</v>
          </cell>
          <cell r="K1224" t="str">
            <v>이정규팀</v>
          </cell>
          <cell r="L1224" t="str">
            <v>301-0172-4771-61</v>
          </cell>
          <cell r="M1224" t="str">
            <v>농협은행</v>
          </cell>
          <cell r="N1224" t="str">
            <v>이정규반석</v>
          </cell>
          <cell r="O1224">
            <v>43745</v>
          </cell>
          <cell r="Q1224" t="str">
            <v/>
          </cell>
          <cell r="S1224">
            <v>45916</v>
          </cell>
          <cell r="T1224">
            <v>45916</v>
          </cell>
          <cell r="V1224" t="str">
            <v>시스템서포트공</v>
          </cell>
        </row>
        <row r="1225">
          <cell r="A1225" t="str">
            <v>정성구</v>
          </cell>
          <cell r="B1225" t="str">
            <v>밀양시 상남면 오산둑길13</v>
          </cell>
          <cell r="C1225" t="str">
            <v>730510-1899718</v>
          </cell>
          <cell r="D1225" t="str">
            <v>010-9941-4549</v>
          </cell>
          <cell r="E1225">
            <v>200000</v>
          </cell>
          <cell r="F1225" t="str">
            <v>남</v>
          </cell>
          <cell r="G1225">
            <v>54</v>
          </cell>
          <cell r="H1225" t="str">
            <v>-</v>
          </cell>
          <cell r="J1225" t="str">
            <v>시스템</v>
          </cell>
          <cell r="K1225" t="str">
            <v>이정규팀</v>
          </cell>
          <cell r="L1225" t="str">
            <v>301-0172-4771-61</v>
          </cell>
          <cell r="M1225" t="str">
            <v>농협은행</v>
          </cell>
          <cell r="N1225" t="str">
            <v>이정규반석</v>
          </cell>
          <cell r="O1225">
            <v>41106</v>
          </cell>
          <cell r="Q1225" t="str">
            <v/>
          </cell>
          <cell r="S1225">
            <v>45916</v>
          </cell>
          <cell r="T1225">
            <v>45916</v>
          </cell>
          <cell r="V1225" t="str">
            <v>시스템서포트공</v>
          </cell>
        </row>
        <row r="1226">
          <cell r="A1226" t="str">
            <v>유인정</v>
          </cell>
          <cell r="B1226" t="str">
            <v>경기 수원시 장안구 경수대로 1081-40</v>
          </cell>
          <cell r="C1226" t="str">
            <v>850307-1148821</v>
          </cell>
          <cell r="D1226" t="str">
            <v>010-8410-5731</v>
          </cell>
          <cell r="E1226">
            <v>200000</v>
          </cell>
          <cell r="F1226" t="str">
            <v>남</v>
          </cell>
          <cell r="G1226">
            <v>42</v>
          </cell>
          <cell r="H1226" t="str">
            <v>-</v>
          </cell>
          <cell r="J1226" t="str">
            <v>시스템</v>
          </cell>
          <cell r="K1226" t="str">
            <v>이정규팀</v>
          </cell>
          <cell r="L1226" t="str">
            <v>301-0172-4771-61</v>
          </cell>
          <cell r="M1226" t="str">
            <v>농협은행</v>
          </cell>
          <cell r="N1226" t="str">
            <v>이정규반석</v>
          </cell>
          <cell r="O1226">
            <v>41467</v>
          </cell>
          <cell r="Q1226" t="str">
            <v/>
          </cell>
          <cell r="R1226">
            <v>45989</v>
          </cell>
          <cell r="S1226">
            <v>45989</v>
          </cell>
          <cell r="T1226">
            <v>45989</v>
          </cell>
          <cell r="V1226" t="str">
            <v>시스템서포트공</v>
          </cell>
        </row>
        <row r="1227">
          <cell r="A1227" t="str">
            <v>이상찬</v>
          </cell>
          <cell r="B1227" t="str">
            <v>경북 경산시 둥지로 19길 5,202호</v>
          </cell>
          <cell r="C1227" t="str">
            <v>771215-1696411</v>
          </cell>
          <cell r="D1227" t="str">
            <v>010-3140-3168</v>
          </cell>
          <cell r="E1227">
            <v>200000</v>
          </cell>
          <cell r="F1227" t="str">
            <v>남</v>
          </cell>
          <cell r="G1227">
            <v>50</v>
          </cell>
          <cell r="H1227" t="str">
            <v>-</v>
          </cell>
          <cell r="J1227" t="str">
            <v>시스템</v>
          </cell>
          <cell r="K1227" t="str">
            <v>이정규팀</v>
          </cell>
          <cell r="L1227" t="str">
            <v>301-0172-4771-61</v>
          </cell>
          <cell r="M1227" t="str">
            <v>농협은행</v>
          </cell>
          <cell r="N1227" t="str">
            <v>이정규반석</v>
          </cell>
          <cell r="O1227">
            <v>41444</v>
          </cell>
          <cell r="R1227">
            <v>45989</v>
          </cell>
          <cell r="S1227">
            <v>45989</v>
          </cell>
          <cell r="T1227">
            <v>45989</v>
          </cell>
          <cell r="V1227" t="str">
            <v>시스템서포트공</v>
          </cell>
        </row>
        <row r="1228">
          <cell r="A1228" t="str">
            <v>이동형</v>
          </cell>
          <cell r="B1228" t="str">
            <v>경기 수원시 장안구 월드컵로404-20,101</v>
          </cell>
          <cell r="C1228" t="str">
            <v>771026-1470622</v>
          </cell>
          <cell r="D1228" t="str">
            <v>010-9408-6635</v>
          </cell>
          <cell r="E1228">
            <v>200000</v>
          </cell>
          <cell r="F1228" t="str">
            <v>남</v>
          </cell>
          <cell r="G1228">
            <v>50</v>
          </cell>
          <cell r="H1228" t="str">
            <v>-</v>
          </cell>
          <cell r="J1228" t="str">
            <v>시스템</v>
          </cell>
          <cell r="K1228" t="str">
            <v>이정규팀</v>
          </cell>
          <cell r="L1228" t="str">
            <v>301-0172-4771-61</v>
          </cell>
          <cell r="M1228" t="str">
            <v>농협은행</v>
          </cell>
          <cell r="N1228" t="str">
            <v>이정규반석</v>
          </cell>
          <cell r="O1228">
            <v>41505</v>
          </cell>
          <cell r="R1228">
            <v>45989</v>
          </cell>
          <cell r="S1228">
            <v>45989</v>
          </cell>
          <cell r="T1228">
            <v>45989</v>
          </cell>
          <cell r="V1228" t="str">
            <v>시스템서포트공</v>
          </cell>
        </row>
        <row r="1229">
          <cell r="A1229" t="str">
            <v>박정표</v>
          </cell>
          <cell r="B1229" t="str">
            <v>수원시 장안구 경수대로754번길25-11</v>
          </cell>
          <cell r="C1229" t="str">
            <v>751017-5100994</v>
          </cell>
          <cell r="D1229" t="str">
            <v>010-7970-8808</v>
          </cell>
          <cell r="E1229">
            <v>200000</v>
          </cell>
          <cell r="F1229" t="str">
            <v>남</v>
          </cell>
          <cell r="G1229">
            <v>52</v>
          </cell>
          <cell r="H1229" t="str">
            <v>외국인</v>
          </cell>
          <cell r="I1229" t="str">
            <v>PIAO ZHENGBIAO</v>
          </cell>
          <cell r="J1229" t="str">
            <v>시스템</v>
          </cell>
          <cell r="K1229" t="str">
            <v>이정규팀</v>
          </cell>
          <cell r="L1229" t="str">
            <v>301-0172-4771-61</v>
          </cell>
          <cell r="M1229" t="str">
            <v>농협은행</v>
          </cell>
          <cell r="N1229" t="str">
            <v>이정규반석</v>
          </cell>
          <cell r="O1229">
            <v>43322</v>
          </cell>
          <cell r="P1229" t="str">
            <v>방문취업H2</v>
          </cell>
          <cell r="Q1229">
            <v>46921</v>
          </cell>
          <cell r="R1229">
            <v>45989</v>
          </cell>
          <cell r="S1229">
            <v>45989</v>
          </cell>
          <cell r="T1229">
            <v>45989</v>
          </cell>
          <cell r="V1229" t="str">
            <v>시스템서포트공</v>
          </cell>
        </row>
        <row r="1230">
          <cell r="A1230" t="str">
            <v>유지훈</v>
          </cell>
          <cell r="B1230" t="str">
            <v>인천 미추홀구 독배로462-20,702호</v>
          </cell>
          <cell r="C1230" t="str">
            <v>810103-1155914</v>
          </cell>
          <cell r="D1230" t="str">
            <v>010-3169-8543</v>
          </cell>
          <cell r="E1230">
            <v>200000</v>
          </cell>
          <cell r="F1230" t="str">
            <v>남</v>
          </cell>
          <cell r="G1230">
            <v>46</v>
          </cell>
          <cell r="H1230" t="str">
            <v>-</v>
          </cell>
          <cell r="J1230" t="str">
            <v>시스템</v>
          </cell>
          <cell r="K1230" t="str">
            <v>이정규팀</v>
          </cell>
          <cell r="L1230" t="str">
            <v>301-0172-4771-61</v>
          </cell>
          <cell r="M1230" t="str">
            <v>농협은행</v>
          </cell>
          <cell r="N1230" t="str">
            <v>이정규반석</v>
          </cell>
          <cell r="O1230">
            <v>41064</v>
          </cell>
          <cell r="R1230">
            <v>45989</v>
          </cell>
          <cell r="S1230">
            <v>45989</v>
          </cell>
          <cell r="T1230">
            <v>45989</v>
          </cell>
          <cell r="V1230" t="str">
            <v>시스템서포트공</v>
          </cell>
        </row>
        <row r="1231">
          <cell r="A1231" t="str">
            <v>박재영</v>
          </cell>
          <cell r="B1231" t="str">
            <v>제주시 아봉로 364-6</v>
          </cell>
          <cell r="C1231" t="str">
            <v>830910-1012520</v>
          </cell>
          <cell r="D1231" t="str">
            <v>010-7697-6487</v>
          </cell>
          <cell r="E1231">
            <v>200000</v>
          </cell>
          <cell r="F1231" t="str">
            <v>남</v>
          </cell>
          <cell r="G1231">
            <v>44</v>
          </cell>
          <cell r="H1231" t="str">
            <v>-</v>
          </cell>
          <cell r="J1231" t="str">
            <v>시스템</v>
          </cell>
          <cell r="K1231" t="str">
            <v>이정규팀</v>
          </cell>
          <cell r="L1231" t="str">
            <v>301-0172-4771-61</v>
          </cell>
          <cell r="M1231" t="str">
            <v>농협은행</v>
          </cell>
          <cell r="N1231" t="str">
            <v>이정규반석</v>
          </cell>
          <cell r="O1231">
            <v>42740</v>
          </cell>
          <cell r="Q1231" t="str">
            <v/>
          </cell>
          <cell r="R1231">
            <v>45989</v>
          </cell>
          <cell r="S1231">
            <v>45989</v>
          </cell>
          <cell r="T1231">
            <v>45989</v>
          </cell>
          <cell r="V1231" t="str">
            <v>시스템서포트공</v>
          </cell>
        </row>
        <row r="1232">
          <cell r="A1232" t="str">
            <v>최원주</v>
          </cell>
          <cell r="B1232" t="str">
            <v>전남 담양군 월산면 월광로 351</v>
          </cell>
          <cell r="C1232" t="str">
            <v>930707-1113421</v>
          </cell>
          <cell r="D1232" t="str">
            <v>010-3954-0944</v>
          </cell>
          <cell r="E1232">
            <v>200000</v>
          </cell>
          <cell r="F1232" t="str">
            <v>남</v>
          </cell>
          <cell r="G1232">
            <v>34</v>
          </cell>
          <cell r="H1232" t="str">
            <v>-</v>
          </cell>
          <cell r="J1232" t="str">
            <v>시스템</v>
          </cell>
          <cell r="K1232" t="str">
            <v>이정규팀</v>
          </cell>
          <cell r="L1232" t="str">
            <v>301-0172-4771-61</v>
          </cell>
          <cell r="M1232" t="str">
            <v>농협은행</v>
          </cell>
          <cell r="N1232" t="str">
            <v>이정규반석</v>
          </cell>
          <cell r="O1232">
            <v>45911</v>
          </cell>
          <cell r="Q1232" t="str">
            <v/>
          </cell>
          <cell r="R1232">
            <v>45989</v>
          </cell>
          <cell r="S1232">
            <v>45989</v>
          </cell>
          <cell r="T1232">
            <v>45989</v>
          </cell>
          <cell r="V1232" t="str">
            <v>시스템서포트공</v>
          </cell>
        </row>
        <row r="1233">
          <cell r="A1233" t="str">
            <v>김종태시</v>
          </cell>
          <cell r="B1233" t="str">
            <v>경기 수원 팔달구 경수대로604번길 15,303</v>
          </cell>
          <cell r="C1233" t="str">
            <v>770923-1932422</v>
          </cell>
          <cell r="D1233" t="str">
            <v>010-5635-6876</v>
          </cell>
          <cell r="E1233">
            <v>200000</v>
          </cell>
          <cell r="F1233" t="str">
            <v>남</v>
          </cell>
          <cell r="G1233">
            <v>50</v>
          </cell>
          <cell r="H1233" t="str">
            <v>-</v>
          </cell>
          <cell r="J1233" t="str">
            <v>시스템</v>
          </cell>
          <cell r="K1233" t="str">
            <v>이정규팀</v>
          </cell>
          <cell r="L1233" t="str">
            <v>301-0172-4771-61</v>
          </cell>
          <cell r="M1233" t="str">
            <v>농협은행</v>
          </cell>
          <cell r="N1233" t="str">
            <v>이정규반석</v>
          </cell>
          <cell r="O1233">
            <v>41082</v>
          </cell>
          <cell r="R1233">
            <v>46013</v>
          </cell>
          <cell r="S1233">
            <v>46013</v>
          </cell>
          <cell r="T1233">
            <v>46013</v>
          </cell>
          <cell r="V1233" t="str">
            <v>시스템서포트공</v>
          </cell>
        </row>
        <row r="1234">
          <cell r="A1234" t="str">
            <v>김주한</v>
          </cell>
          <cell r="B1234" t="str">
            <v>전남 광양시 광양읍 우산공원길 64,101-1103</v>
          </cell>
          <cell r="C1234" t="str">
            <v>930209-1645915</v>
          </cell>
          <cell r="D1234" t="str">
            <v>010-6383-8890</v>
          </cell>
          <cell r="E1234">
            <v>200000</v>
          </cell>
          <cell r="F1234" t="str">
            <v>남</v>
          </cell>
          <cell r="G1234">
            <v>34</v>
          </cell>
          <cell r="H1234" t="str">
            <v>-</v>
          </cell>
          <cell r="J1234" t="str">
            <v>시스템</v>
          </cell>
          <cell r="K1234" t="str">
            <v>이정규팀</v>
          </cell>
          <cell r="L1234" t="str">
            <v>301-0172-4771-61</v>
          </cell>
          <cell r="M1234" t="str">
            <v>농협은행</v>
          </cell>
          <cell r="N1234" t="str">
            <v>이정규반석</v>
          </cell>
          <cell r="O1234">
            <v>41834</v>
          </cell>
          <cell r="R1234">
            <v>46013</v>
          </cell>
          <cell r="S1234">
            <v>46013</v>
          </cell>
          <cell r="T1234">
            <v>46013</v>
          </cell>
          <cell r="V1234" t="str">
            <v>시스템서포트공</v>
          </cell>
        </row>
        <row r="1235">
          <cell r="A1235" t="str">
            <v>김형문</v>
          </cell>
          <cell r="B1235" t="str">
            <v>경북 영천시 서문길 101</v>
          </cell>
          <cell r="C1235" t="str">
            <v>660309-1787511</v>
          </cell>
          <cell r="D1235" t="str">
            <v>010-8342-5305</v>
          </cell>
          <cell r="E1235">
            <v>200000</v>
          </cell>
          <cell r="F1235" t="str">
            <v>남</v>
          </cell>
          <cell r="G1235">
            <v>61</v>
          </cell>
          <cell r="H1235" t="str">
            <v>-</v>
          </cell>
          <cell r="J1235" t="str">
            <v>시스템</v>
          </cell>
          <cell r="K1235" t="str">
            <v>이정규팀</v>
          </cell>
          <cell r="L1235" t="str">
            <v>301-0172-4771-61</v>
          </cell>
          <cell r="M1235" t="str">
            <v>농협은행</v>
          </cell>
          <cell r="N1235" t="str">
            <v>이정규반석</v>
          </cell>
          <cell r="O1235">
            <v>41082</v>
          </cell>
          <cell r="R1235">
            <v>46013</v>
          </cell>
          <cell r="S1235">
            <v>46013</v>
          </cell>
          <cell r="T1235">
            <v>46013</v>
          </cell>
          <cell r="V1235" t="str">
            <v>시스템서포트공</v>
          </cell>
        </row>
        <row r="1236">
          <cell r="A1236" t="str">
            <v>박의</v>
          </cell>
          <cell r="B1236" t="str">
            <v>강원 화천 화천읍 산수화로130-4, A-202</v>
          </cell>
          <cell r="C1236" t="str">
            <v>840309-1336913</v>
          </cell>
          <cell r="D1236" t="str">
            <v>010-7142-2503</v>
          </cell>
          <cell r="E1236">
            <v>200000</v>
          </cell>
          <cell r="F1236" t="str">
            <v>남</v>
          </cell>
          <cell r="G1236">
            <v>43</v>
          </cell>
          <cell r="H1236" t="str">
            <v>-</v>
          </cell>
          <cell r="J1236" t="str">
            <v>시스템</v>
          </cell>
          <cell r="K1236" t="str">
            <v>이정규팀</v>
          </cell>
          <cell r="L1236" t="str">
            <v>301-0172-4771-61</v>
          </cell>
          <cell r="M1236" t="str">
            <v>농협은행</v>
          </cell>
          <cell r="N1236" t="str">
            <v>이정규반석</v>
          </cell>
          <cell r="O1236">
            <v>41436</v>
          </cell>
          <cell r="R1236">
            <v>46013</v>
          </cell>
          <cell r="S1236">
            <v>46013</v>
          </cell>
          <cell r="T1236">
            <v>46013</v>
          </cell>
          <cell r="V1236" t="str">
            <v>시스템서포트공</v>
          </cell>
        </row>
        <row r="1237">
          <cell r="A1237" t="str">
            <v>이관용</v>
          </cell>
          <cell r="B1237" t="str">
            <v>서울 관악구 신림동 1573-28</v>
          </cell>
          <cell r="C1237" t="str">
            <v>881207-1124215</v>
          </cell>
          <cell r="D1237" t="str">
            <v>010-5843-8526</v>
          </cell>
          <cell r="E1237">
            <v>200000</v>
          </cell>
          <cell r="F1237" t="str">
            <v>남</v>
          </cell>
          <cell r="G1237">
            <v>39</v>
          </cell>
          <cell r="H1237" t="str">
            <v>-</v>
          </cell>
          <cell r="J1237" t="str">
            <v>시스템</v>
          </cell>
          <cell r="K1237" t="str">
            <v>이정규팀</v>
          </cell>
          <cell r="L1237" t="str">
            <v>301-0172-4771-61</v>
          </cell>
          <cell r="M1237" t="str">
            <v>농협은행</v>
          </cell>
          <cell r="N1237" t="str">
            <v>이정규반석</v>
          </cell>
          <cell r="O1237">
            <v>41613</v>
          </cell>
          <cell r="R1237">
            <v>46013</v>
          </cell>
          <cell r="S1237">
            <v>46013</v>
          </cell>
          <cell r="T1237">
            <v>46013</v>
          </cell>
          <cell r="V1237" t="str">
            <v>시스템서포트공</v>
          </cell>
        </row>
        <row r="1238">
          <cell r="A1238" t="str">
            <v>주현철</v>
          </cell>
          <cell r="B1238" t="str">
            <v>충북 괴산군 괴산읍 서부리123</v>
          </cell>
          <cell r="C1238" t="str">
            <v>850315-1345815</v>
          </cell>
          <cell r="D1238" t="str">
            <v>010-7997-3507</v>
          </cell>
          <cell r="E1238">
            <v>200000</v>
          </cell>
          <cell r="F1238" t="str">
            <v>남</v>
          </cell>
          <cell r="G1238">
            <v>42</v>
          </cell>
          <cell r="H1238" t="str">
            <v>-</v>
          </cell>
          <cell r="J1238" t="str">
            <v>시스템</v>
          </cell>
          <cell r="K1238" t="str">
            <v>이정규팀</v>
          </cell>
          <cell r="L1238" t="str">
            <v>301-0172-4771-61</v>
          </cell>
          <cell r="M1238" t="str">
            <v>농협은행</v>
          </cell>
          <cell r="N1238" t="str">
            <v>이정규반석</v>
          </cell>
          <cell r="O1238">
            <v>42311</v>
          </cell>
          <cell r="R1238">
            <v>46013</v>
          </cell>
          <cell r="S1238">
            <v>46013</v>
          </cell>
          <cell r="T1238">
            <v>46013</v>
          </cell>
          <cell r="V1238" t="str">
            <v>시스템서포트공</v>
          </cell>
        </row>
        <row r="1239">
          <cell r="A1239" t="str">
            <v>백승엽</v>
          </cell>
          <cell r="B1239" t="str">
            <v>광주 북구 청계로 52</v>
          </cell>
          <cell r="C1239" t="str">
            <v>981028-1561715</v>
          </cell>
          <cell r="D1239" t="str">
            <v>010-4681-6253</v>
          </cell>
          <cell r="E1239">
            <v>200000</v>
          </cell>
          <cell r="F1239" t="str">
            <v>남</v>
          </cell>
          <cell r="G1239">
            <v>29</v>
          </cell>
          <cell r="H1239" t="str">
            <v>-</v>
          </cell>
          <cell r="J1239" t="str">
            <v>시스템</v>
          </cell>
          <cell r="K1239" t="str">
            <v>이정규팀</v>
          </cell>
          <cell r="O1239">
            <v>43651</v>
          </cell>
          <cell r="R1239">
            <v>46014</v>
          </cell>
          <cell r="S1239">
            <v>46014</v>
          </cell>
          <cell r="T1239">
            <v>46014</v>
          </cell>
          <cell r="V1239" t="str">
            <v>시스템서포트공</v>
          </cell>
        </row>
        <row r="1240">
          <cell r="A1240" t="str">
            <v>노인혁</v>
          </cell>
          <cell r="B1240" t="str">
            <v>울산 남구 삼산로331번길 25,303호</v>
          </cell>
          <cell r="C1240" t="str">
            <v>940531-1559930</v>
          </cell>
          <cell r="D1240" t="str">
            <v>010-6849-2316</v>
          </cell>
          <cell r="E1240">
            <v>200000</v>
          </cell>
          <cell r="F1240" t="str">
            <v>남</v>
          </cell>
          <cell r="G1240">
            <v>33</v>
          </cell>
          <cell r="H1240" t="str">
            <v>-</v>
          </cell>
          <cell r="J1240" t="str">
            <v>시스템</v>
          </cell>
          <cell r="K1240" t="str">
            <v>이정규팀</v>
          </cell>
          <cell r="O1240">
            <v>43453</v>
          </cell>
          <cell r="R1240">
            <v>46027</v>
          </cell>
          <cell r="S1240">
            <v>46027</v>
          </cell>
          <cell r="T1240">
            <v>46027</v>
          </cell>
          <cell r="V1240" t="str">
            <v>시스템서포트공</v>
          </cell>
        </row>
        <row r="1241">
          <cell r="A1241" t="str">
            <v>박우빈</v>
          </cell>
          <cell r="B1241" t="str">
            <v>경기 안산 상록구 수암3길23,102호</v>
          </cell>
          <cell r="C1241" t="str">
            <v>001124-3198013</v>
          </cell>
          <cell r="D1241" t="str">
            <v>010-5763-6313</v>
          </cell>
          <cell r="E1241">
            <v>200000</v>
          </cell>
          <cell r="F1241" t="str">
            <v>남</v>
          </cell>
          <cell r="G1241">
            <v>27</v>
          </cell>
          <cell r="H1241" t="str">
            <v>-</v>
          </cell>
          <cell r="J1241" t="str">
            <v>시스템</v>
          </cell>
          <cell r="K1241" t="str">
            <v>이정규팀</v>
          </cell>
          <cell r="O1241">
            <v>43587</v>
          </cell>
          <cell r="R1241">
            <v>46027</v>
          </cell>
          <cell r="S1241">
            <v>46027</v>
          </cell>
          <cell r="T1241">
            <v>46027</v>
          </cell>
          <cell r="V1241" t="str">
            <v>시스템서포트공</v>
          </cell>
        </row>
        <row r="1242">
          <cell r="A1242" t="str">
            <v>박한혁</v>
          </cell>
          <cell r="B1242" t="str">
            <v>인천 서구 검단로 786,304-703</v>
          </cell>
          <cell r="C1242" t="str">
            <v>050914-3255116</v>
          </cell>
          <cell r="D1242" t="str">
            <v>010-6471-6509</v>
          </cell>
          <cell r="E1242">
            <v>200000</v>
          </cell>
          <cell r="F1242" t="str">
            <v>남</v>
          </cell>
          <cell r="G1242">
            <v>22</v>
          </cell>
          <cell r="H1242" t="str">
            <v>-</v>
          </cell>
          <cell r="J1242" t="str">
            <v>시스템</v>
          </cell>
          <cell r="K1242" t="str">
            <v>이정규팀</v>
          </cell>
          <cell r="O1242">
            <v>45497</v>
          </cell>
          <cell r="R1242">
            <v>46027</v>
          </cell>
          <cell r="S1242">
            <v>46027</v>
          </cell>
          <cell r="T1242">
            <v>46027</v>
          </cell>
          <cell r="V1242" t="str">
            <v>시스템서포트공</v>
          </cell>
        </row>
        <row r="1243">
          <cell r="A1243" t="str">
            <v>신선호</v>
          </cell>
          <cell r="B1243" t="str">
            <v>서울 중랑구 동일로163길 10</v>
          </cell>
          <cell r="C1243" t="str">
            <v>930803-1203410</v>
          </cell>
          <cell r="D1243" t="str">
            <v>010-5964-2251</v>
          </cell>
          <cell r="E1243">
            <v>200000</v>
          </cell>
          <cell r="F1243" t="str">
            <v>남</v>
          </cell>
          <cell r="G1243">
            <v>34</v>
          </cell>
          <cell r="H1243" t="str">
            <v>-</v>
          </cell>
          <cell r="J1243" t="str">
            <v>시스템</v>
          </cell>
          <cell r="K1243" t="str">
            <v>이정규팀</v>
          </cell>
          <cell r="O1243">
            <v>43052</v>
          </cell>
          <cell r="R1243">
            <v>46027</v>
          </cell>
          <cell r="S1243">
            <v>46027</v>
          </cell>
          <cell r="T1243">
            <v>46027</v>
          </cell>
          <cell r="V1243" t="str">
            <v>시스템서포트공</v>
          </cell>
        </row>
        <row r="1244">
          <cell r="A1244" t="str">
            <v>오종법</v>
          </cell>
          <cell r="B1244" t="str">
            <v>서울 광진구 뚝섬로58길 23</v>
          </cell>
          <cell r="C1244" t="str">
            <v>930521-1020213</v>
          </cell>
          <cell r="D1244" t="str">
            <v>010-7902-2490</v>
          </cell>
          <cell r="E1244">
            <v>200000</v>
          </cell>
          <cell r="F1244" t="str">
            <v>남</v>
          </cell>
          <cell r="G1244">
            <v>34</v>
          </cell>
          <cell r="H1244" t="str">
            <v>-</v>
          </cell>
          <cell r="J1244" t="str">
            <v>시스템</v>
          </cell>
          <cell r="K1244" t="str">
            <v>이정규팀</v>
          </cell>
          <cell r="O1244">
            <v>44260</v>
          </cell>
          <cell r="R1244">
            <v>46027</v>
          </cell>
          <cell r="S1244">
            <v>46027</v>
          </cell>
          <cell r="T1244">
            <v>46027</v>
          </cell>
          <cell r="V1244" t="str">
            <v>시스템서포트공</v>
          </cell>
        </row>
        <row r="1245">
          <cell r="A1245" t="str">
            <v>이영훈</v>
          </cell>
          <cell r="B1245" t="str">
            <v>대구 수성구 지범로22길22,102-208</v>
          </cell>
          <cell r="C1245" t="str">
            <v>920709-1671013</v>
          </cell>
          <cell r="D1245" t="str">
            <v>010-3958-9067</v>
          </cell>
          <cell r="E1245">
            <v>200000</v>
          </cell>
          <cell r="F1245" t="str">
            <v>남</v>
          </cell>
          <cell r="G1245">
            <v>35</v>
          </cell>
          <cell r="H1245" t="str">
            <v>-</v>
          </cell>
          <cell r="J1245" t="str">
            <v>시스템</v>
          </cell>
          <cell r="K1245" t="str">
            <v>이정규팀</v>
          </cell>
          <cell r="O1245">
            <v>42237</v>
          </cell>
          <cell r="R1245">
            <v>46027</v>
          </cell>
          <cell r="S1245">
            <v>46027</v>
          </cell>
          <cell r="T1245">
            <v>46027</v>
          </cell>
          <cell r="V1245" t="str">
            <v>시스템서포트공</v>
          </cell>
        </row>
        <row r="1246">
          <cell r="A1246" t="str">
            <v>임주영</v>
          </cell>
          <cell r="B1246" t="str">
            <v>경기 의정부시 경의로86길 13-13, 1층</v>
          </cell>
          <cell r="C1246" t="str">
            <v>920713-1029813</v>
          </cell>
          <cell r="D1246" t="str">
            <v>010-8186-1829</v>
          </cell>
          <cell r="E1246">
            <v>200000</v>
          </cell>
          <cell r="F1246" t="str">
            <v>남</v>
          </cell>
          <cell r="G1246">
            <v>35</v>
          </cell>
          <cell r="H1246" t="str">
            <v>-</v>
          </cell>
          <cell r="J1246" t="str">
            <v>시스템</v>
          </cell>
          <cell r="K1246" t="str">
            <v>이정규팀</v>
          </cell>
          <cell r="L1246" t="str">
            <v>3333-34-3771077</v>
          </cell>
          <cell r="M1246" t="str">
            <v>카카오뱅크</v>
          </cell>
          <cell r="N1246" t="str">
            <v>임주영</v>
          </cell>
          <cell r="O1246">
            <v>41606</v>
          </cell>
          <cell r="R1246">
            <v>46027</v>
          </cell>
          <cell r="S1246">
            <v>46027</v>
          </cell>
          <cell r="T1246">
            <v>46027</v>
          </cell>
          <cell r="V1246" t="str">
            <v>시스템서포트공</v>
          </cell>
        </row>
        <row r="1247">
          <cell r="A1247" t="str">
            <v>조원익</v>
          </cell>
          <cell r="B1247" t="str">
            <v>경기 안산시 상록구 부곡로3안길2,502호</v>
          </cell>
          <cell r="C1247" t="str">
            <v>000705-3198014</v>
          </cell>
          <cell r="D1247" t="str">
            <v>010-4175-5065</v>
          </cell>
          <cell r="E1247">
            <v>200000</v>
          </cell>
          <cell r="F1247" t="str">
            <v>남</v>
          </cell>
          <cell r="G1247">
            <v>27</v>
          </cell>
          <cell r="H1247" t="str">
            <v>-</v>
          </cell>
          <cell r="J1247" t="str">
            <v>시스템</v>
          </cell>
          <cell r="K1247" t="str">
            <v>이정규팀</v>
          </cell>
          <cell r="L1247" t="str">
            <v>110-566-722052</v>
          </cell>
          <cell r="M1247" t="str">
            <v>신한은행</v>
          </cell>
          <cell r="N1247" t="str">
            <v>조원익</v>
          </cell>
          <cell r="O1247">
            <v>44546</v>
          </cell>
          <cell r="Q1247" t="str">
            <v/>
          </cell>
          <cell r="R1247">
            <v>46027</v>
          </cell>
          <cell r="S1247">
            <v>46027</v>
          </cell>
          <cell r="T1247">
            <v>46027</v>
          </cell>
          <cell r="V1247" t="str">
            <v>시스템서포트공</v>
          </cell>
        </row>
        <row r="1248">
          <cell r="A1248" t="str">
            <v>김진수</v>
          </cell>
          <cell r="B1248" t="str">
            <v>경남 산청군 산청읍 물안실로50번길 9</v>
          </cell>
          <cell r="C1248" t="str">
            <v>981119-1113721</v>
          </cell>
          <cell r="D1248" t="str">
            <v>010-4686-0274</v>
          </cell>
          <cell r="E1248">
            <v>200000</v>
          </cell>
          <cell r="F1248" t="str">
            <v>남</v>
          </cell>
          <cell r="G1248">
            <v>29</v>
          </cell>
          <cell r="H1248" t="str">
            <v>-</v>
          </cell>
          <cell r="J1248" t="str">
            <v>시스템</v>
          </cell>
          <cell r="K1248" t="str">
            <v>이정규팀</v>
          </cell>
          <cell r="O1248">
            <v>45225</v>
          </cell>
          <cell r="R1248">
            <v>46028</v>
          </cell>
          <cell r="S1248">
            <v>46028</v>
          </cell>
          <cell r="T1248">
            <v>46028</v>
          </cell>
          <cell r="V1248" t="str">
            <v>시스템서포트공</v>
          </cell>
        </row>
        <row r="1249">
          <cell r="A1249" t="str">
            <v>변호용</v>
          </cell>
          <cell r="B1249" t="str">
            <v>경기 안산 단원구 와개1안길 15</v>
          </cell>
          <cell r="C1249" t="str">
            <v>840205-1814612</v>
          </cell>
          <cell r="D1249" t="str">
            <v>010-2419-7930</v>
          </cell>
          <cell r="E1249">
            <v>200000</v>
          </cell>
          <cell r="F1249" t="str">
            <v>남</v>
          </cell>
          <cell r="G1249">
            <v>43</v>
          </cell>
          <cell r="H1249" t="str">
            <v>-</v>
          </cell>
          <cell r="J1249" t="str">
            <v>시스템</v>
          </cell>
          <cell r="K1249" t="str">
            <v>이정규팀</v>
          </cell>
          <cell r="O1249">
            <v>42857</v>
          </cell>
          <cell r="R1249">
            <v>46028</v>
          </cell>
          <cell r="S1249">
            <v>46028</v>
          </cell>
          <cell r="T1249">
            <v>46028</v>
          </cell>
          <cell r="V1249" t="str">
            <v>시스템서포트공</v>
          </cell>
        </row>
        <row r="1250">
          <cell r="A1250" t="str">
            <v>서현욱</v>
          </cell>
          <cell r="B1250" t="str">
            <v>경남 함양군 함양읍 하백길7-4</v>
          </cell>
          <cell r="C1250" t="str">
            <v>930329-1925118</v>
          </cell>
          <cell r="D1250" t="str">
            <v>010-8421-9509</v>
          </cell>
          <cell r="E1250">
            <v>200000</v>
          </cell>
          <cell r="F1250" t="str">
            <v>남</v>
          </cell>
          <cell r="G1250">
            <v>34</v>
          </cell>
          <cell r="H1250" t="str">
            <v>-</v>
          </cell>
          <cell r="J1250" t="str">
            <v>시스템</v>
          </cell>
          <cell r="K1250" t="str">
            <v>이정규팀</v>
          </cell>
          <cell r="O1250">
            <v>44908</v>
          </cell>
          <cell r="Q1250" t="str">
            <v/>
          </cell>
          <cell r="R1250">
            <v>46028</v>
          </cell>
          <cell r="S1250">
            <v>46028</v>
          </cell>
          <cell r="T1250">
            <v>46028</v>
          </cell>
          <cell r="V1250" t="str">
            <v>시스템서포트공</v>
          </cell>
        </row>
        <row r="1251">
          <cell r="A1251" t="str">
            <v>김병탁</v>
          </cell>
          <cell r="B1251" t="str">
            <v>경북 의성군 다인면 다인장길 34</v>
          </cell>
          <cell r="C1251" t="str">
            <v>750915-1773112</v>
          </cell>
          <cell r="D1251" t="str">
            <v>010-3316-8812</v>
          </cell>
          <cell r="E1251">
            <v>200000</v>
          </cell>
          <cell r="F1251" t="str">
            <v>남</v>
          </cell>
          <cell r="G1251">
            <v>52</v>
          </cell>
          <cell r="H1251" t="str">
            <v>-</v>
          </cell>
          <cell r="J1251" t="str">
            <v>시스템</v>
          </cell>
          <cell r="K1251" t="str">
            <v>이정규팀</v>
          </cell>
          <cell r="O1251">
            <v>42980</v>
          </cell>
          <cell r="Q1251" t="str">
            <v/>
          </cell>
          <cell r="R1251">
            <v>46029</v>
          </cell>
          <cell r="S1251">
            <v>46029</v>
          </cell>
          <cell r="T1251">
            <v>46029</v>
          </cell>
          <cell r="V1251" t="str">
            <v>시스템서포트공</v>
          </cell>
        </row>
        <row r="1252">
          <cell r="A1252" t="str">
            <v>박일섭</v>
          </cell>
          <cell r="B1252" t="str">
            <v>경기 안산 단원구 사세충열로9,2-301</v>
          </cell>
          <cell r="C1252" t="str">
            <v>880514-1812411</v>
          </cell>
          <cell r="D1252" t="str">
            <v>010-2476-4025</v>
          </cell>
          <cell r="E1252">
            <v>200000</v>
          </cell>
          <cell r="F1252" t="str">
            <v>남</v>
          </cell>
          <cell r="G1252">
            <v>39</v>
          </cell>
          <cell r="H1252" t="str">
            <v>-</v>
          </cell>
          <cell r="J1252" t="str">
            <v>시스템</v>
          </cell>
          <cell r="K1252" t="str">
            <v>이정규팀</v>
          </cell>
          <cell r="O1252">
            <v>43553</v>
          </cell>
          <cell r="R1252">
            <v>46029</v>
          </cell>
          <cell r="S1252">
            <v>46029</v>
          </cell>
          <cell r="T1252">
            <v>46029</v>
          </cell>
          <cell r="V1252" t="str">
            <v>시스템서포트공</v>
          </cell>
        </row>
        <row r="1253">
          <cell r="A1253" t="str">
            <v>이윤곤</v>
          </cell>
          <cell r="B1253" t="str">
            <v>경기 시흥 정왕동 1591-3, 205</v>
          </cell>
          <cell r="C1253" t="str">
            <v>760330-1805213</v>
          </cell>
          <cell r="D1253" t="str">
            <v>010-9742-2523</v>
          </cell>
          <cell r="E1253">
            <v>200000</v>
          </cell>
          <cell r="F1253" t="str">
            <v>남</v>
          </cell>
          <cell r="G1253">
            <v>51</v>
          </cell>
          <cell r="H1253" t="str">
            <v>-</v>
          </cell>
          <cell r="J1253" t="str">
            <v>시스템</v>
          </cell>
          <cell r="K1253" t="str">
            <v>이정규팀</v>
          </cell>
          <cell r="O1253">
            <v>41646</v>
          </cell>
          <cell r="R1253">
            <v>46029</v>
          </cell>
          <cell r="S1253">
            <v>46029</v>
          </cell>
          <cell r="T1253">
            <v>46029</v>
          </cell>
          <cell r="V1253" t="str">
            <v>시스템서포트공</v>
          </cell>
        </row>
        <row r="1254">
          <cell r="A1254" t="str">
            <v>장근호</v>
          </cell>
          <cell r="B1254" t="str">
            <v>서울 동대문구 망우로 18가길 55-12,301호</v>
          </cell>
          <cell r="C1254" t="str">
            <v>941019-1010611</v>
          </cell>
          <cell r="D1254" t="str">
            <v>010-8109-0353</v>
          </cell>
          <cell r="E1254">
            <v>200000</v>
          </cell>
          <cell r="F1254" t="str">
            <v>남</v>
          </cell>
          <cell r="G1254">
            <v>33</v>
          </cell>
          <cell r="H1254" t="str">
            <v>-</v>
          </cell>
          <cell r="J1254" t="str">
            <v>시스템</v>
          </cell>
          <cell r="K1254" t="str">
            <v>이정규팀</v>
          </cell>
          <cell r="O1254">
            <v>43266</v>
          </cell>
          <cell r="R1254">
            <v>46029</v>
          </cell>
          <cell r="S1254">
            <v>46029</v>
          </cell>
          <cell r="T1254">
            <v>46029</v>
          </cell>
          <cell r="V1254" t="str">
            <v>시스템서포트공</v>
          </cell>
        </row>
        <row r="1255">
          <cell r="A1255" t="str">
            <v>최병철</v>
          </cell>
          <cell r="B1255" t="str">
            <v>제주 서귀포시 신서귀로51번길 33,1005</v>
          </cell>
          <cell r="C1255" t="str">
            <v>851231-1163824</v>
          </cell>
          <cell r="D1255" t="str">
            <v>010-3675-8519</v>
          </cell>
          <cell r="E1255">
            <v>200000</v>
          </cell>
          <cell r="F1255" t="str">
            <v>남</v>
          </cell>
          <cell r="G1255">
            <v>42</v>
          </cell>
          <cell r="H1255" t="str">
            <v>-</v>
          </cell>
          <cell r="J1255" t="str">
            <v>시스템</v>
          </cell>
          <cell r="K1255" t="str">
            <v>이정규팀</v>
          </cell>
          <cell r="O1255">
            <v>41444</v>
          </cell>
          <cell r="R1255">
            <v>46029</v>
          </cell>
          <cell r="S1255">
            <v>46029</v>
          </cell>
          <cell r="T1255">
            <v>46029</v>
          </cell>
          <cell r="V1255" t="str">
            <v>시스템서포트공</v>
          </cell>
        </row>
        <row r="1256">
          <cell r="A1256" t="str">
            <v>허영</v>
          </cell>
          <cell r="B1256" t="str">
            <v>경기 안양 만안구 석수동 484-8</v>
          </cell>
          <cell r="C1256" t="str">
            <v>920316-1057930</v>
          </cell>
          <cell r="D1256" t="str">
            <v>010-8899-4743</v>
          </cell>
          <cell r="E1256">
            <v>200000</v>
          </cell>
          <cell r="F1256" t="str">
            <v>남</v>
          </cell>
          <cell r="G1256">
            <v>35</v>
          </cell>
          <cell r="H1256" t="str">
            <v>-</v>
          </cell>
          <cell r="J1256" t="str">
            <v>시스템</v>
          </cell>
          <cell r="K1256" t="str">
            <v>이정규팀</v>
          </cell>
          <cell r="O1256">
            <v>42164</v>
          </cell>
          <cell r="R1256">
            <v>46029</v>
          </cell>
          <cell r="S1256">
            <v>46029</v>
          </cell>
          <cell r="T1256">
            <v>46029</v>
          </cell>
          <cell r="V1256" t="str">
            <v>시스템서포트공</v>
          </cell>
        </row>
        <row r="1257">
          <cell r="A1257" t="str">
            <v>김희빈</v>
          </cell>
          <cell r="B1257" t="str">
            <v>경기 의정부시 본원로 46번길 16,501-1103</v>
          </cell>
          <cell r="C1257" t="str">
            <v>900408-1238714</v>
          </cell>
          <cell r="D1257" t="str">
            <v>010-9481-9048</v>
          </cell>
          <cell r="E1257">
            <v>200000</v>
          </cell>
          <cell r="F1257" t="str">
            <v>남</v>
          </cell>
          <cell r="G1257">
            <v>37</v>
          </cell>
          <cell r="H1257" t="str">
            <v>-</v>
          </cell>
          <cell r="J1257" t="str">
            <v>시스템</v>
          </cell>
          <cell r="K1257" t="str">
            <v>이정규팀</v>
          </cell>
          <cell r="O1257">
            <v>42062</v>
          </cell>
          <cell r="R1257">
            <v>46030</v>
          </cell>
          <cell r="S1257">
            <v>46030</v>
          </cell>
          <cell r="T1257">
            <v>46030</v>
          </cell>
          <cell r="V1257" t="str">
            <v>시스템서포트공</v>
          </cell>
        </row>
        <row r="1258">
          <cell r="A1258" t="str">
            <v>최서우</v>
          </cell>
          <cell r="B1258" t="str">
            <v>경기 남양주 늘을3로 65-26,1301-801</v>
          </cell>
          <cell r="C1258" t="str">
            <v>020309-3218616</v>
          </cell>
          <cell r="D1258" t="str">
            <v>010-9059-3001</v>
          </cell>
          <cell r="E1258">
            <v>200000</v>
          </cell>
          <cell r="F1258" t="str">
            <v>남</v>
          </cell>
          <cell r="G1258">
            <v>25</v>
          </cell>
          <cell r="H1258" t="str">
            <v>-</v>
          </cell>
          <cell r="J1258" t="str">
            <v>시스템</v>
          </cell>
          <cell r="K1258" t="str">
            <v>이정규팀</v>
          </cell>
          <cell r="O1258">
            <v>44784</v>
          </cell>
          <cell r="R1258">
            <v>46031</v>
          </cell>
          <cell r="S1258">
            <v>46031</v>
          </cell>
          <cell r="T1258">
            <v>46031</v>
          </cell>
          <cell r="V1258" t="str">
            <v>시스템서포트공</v>
          </cell>
        </row>
        <row r="1259">
          <cell r="A1259" t="str">
            <v>김용성</v>
          </cell>
          <cell r="B1259" t="str">
            <v>경기 수원 팔달구 화산로6번길 7-16</v>
          </cell>
          <cell r="C1259" t="str">
            <v>810316-1155911</v>
          </cell>
          <cell r="D1259" t="str">
            <v>010-7619-9227</v>
          </cell>
          <cell r="E1259">
            <v>200000</v>
          </cell>
          <cell r="F1259" t="str">
            <v>남</v>
          </cell>
          <cell r="G1259">
            <v>46</v>
          </cell>
          <cell r="H1259" t="str">
            <v>-</v>
          </cell>
          <cell r="J1259" t="str">
            <v>시스템</v>
          </cell>
          <cell r="K1259" t="str">
            <v>이정규팀</v>
          </cell>
          <cell r="O1259">
            <v>41778</v>
          </cell>
          <cell r="R1259">
            <v>46038</v>
          </cell>
          <cell r="S1259">
            <v>46038</v>
          </cell>
          <cell r="T1259">
            <v>46038</v>
          </cell>
          <cell r="V1259" t="str">
            <v>시스템서포트공</v>
          </cell>
        </row>
        <row r="1260">
          <cell r="A1260" t="str">
            <v>이준혁</v>
          </cell>
          <cell r="B1260" t="str">
            <v>부산 북구 의성로 115번길 23</v>
          </cell>
          <cell r="C1260" t="str">
            <v>981012-1103327</v>
          </cell>
          <cell r="D1260" t="str">
            <v>010-6594-5403</v>
          </cell>
          <cell r="E1260">
            <v>200000</v>
          </cell>
          <cell r="F1260" t="str">
            <v>남</v>
          </cell>
          <cell r="G1260">
            <v>29</v>
          </cell>
          <cell r="H1260" t="str">
            <v>-</v>
          </cell>
          <cell r="J1260" t="str">
            <v>시스템</v>
          </cell>
          <cell r="K1260" t="str">
            <v>이정규팀</v>
          </cell>
          <cell r="O1260">
            <v>43740</v>
          </cell>
          <cell r="R1260">
            <v>46038</v>
          </cell>
          <cell r="S1260">
            <v>46038</v>
          </cell>
          <cell r="T1260">
            <v>46038</v>
          </cell>
          <cell r="V1260" t="str">
            <v>시스템서포트공</v>
          </cell>
        </row>
        <row r="1261">
          <cell r="A1261" t="str">
            <v>권윤구</v>
          </cell>
          <cell r="B1261" t="str">
            <v>경기 시흥 검바위2로 15, 라-201</v>
          </cell>
          <cell r="C1261" t="str">
            <v>920804-1151725</v>
          </cell>
          <cell r="D1261" t="str">
            <v>010-7171-2748</v>
          </cell>
          <cell r="E1261">
            <v>200000</v>
          </cell>
          <cell r="F1261" t="str">
            <v>남</v>
          </cell>
          <cell r="G1261">
            <v>35</v>
          </cell>
          <cell r="H1261" t="str">
            <v>-</v>
          </cell>
          <cell r="J1261" t="str">
            <v>시스템</v>
          </cell>
          <cell r="K1261" t="str">
            <v>이정규팀</v>
          </cell>
          <cell r="O1261">
            <v>43869</v>
          </cell>
          <cell r="R1261">
            <v>46060</v>
          </cell>
          <cell r="S1261">
            <v>46060</v>
          </cell>
          <cell r="T1261">
            <v>46060</v>
          </cell>
          <cell r="V1261" t="str">
            <v>시스템서포트공</v>
          </cell>
        </row>
        <row r="1262">
          <cell r="A1262" t="str">
            <v>김기석</v>
          </cell>
          <cell r="B1262" t="str">
            <v>충남 예산군 예산읍 천변로161번길 11</v>
          </cell>
          <cell r="C1262" t="str">
            <v>931228-1469417</v>
          </cell>
          <cell r="D1262" t="str">
            <v>010-4476-8227</v>
          </cell>
          <cell r="E1262">
            <v>200000</v>
          </cell>
          <cell r="F1262" t="str">
            <v>남</v>
          </cell>
          <cell r="G1262">
            <v>34</v>
          </cell>
          <cell r="H1262" t="str">
            <v>-</v>
          </cell>
          <cell r="J1262" t="str">
            <v>시스템</v>
          </cell>
          <cell r="K1262" t="str">
            <v>이정규팀</v>
          </cell>
          <cell r="O1262">
            <v>42781</v>
          </cell>
          <cell r="R1262">
            <v>46060</v>
          </cell>
          <cell r="S1262">
            <v>46060</v>
          </cell>
          <cell r="T1262">
            <v>46060</v>
          </cell>
          <cell r="V1262" t="str">
            <v>시스템서포트공</v>
          </cell>
        </row>
        <row r="1263">
          <cell r="A1263" t="str">
            <v>김진영</v>
          </cell>
          <cell r="B1263" t="str">
            <v>경기 파주 중앙로226,101-1508</v>
          </cell>
          <cell r="C1263" t="str">
            <v>881203-1245718</v>
          </cell>
          <cell r="D1263" t="str">
            <v>010-3957-9357</v>
          </cell>
          <cell r="E1263">
            <v>200000</v>
          </cell>
          <cell r="F1263" t="str">
            <v>남</v>
          </cell>
          <cell r="G1263">
            <v>39</v>
          </cell>
          <cell r="H1263" t="str">
            <v>-</v>
          </cell>
          <cell r="J1263" t="str">
            <v>시스템</v>
          </cell>
          <cell r="K1263" t="str">
            <v>이정규팀</v>
          </cell>
          <cell r="O1263">
            <v>41809</v>
          </cell>
          <cell r="R1263">
            <v>46060</v>
          </cell>
          <cell r="S1263">
            <v>46060</v>
          </cell>
          <cell r="T1263">
            <v>46060</v>
          </cell>
          <cell r="V1263" t="str">
            <v>시스템서포트공</v>
          </cell>
        </row>
        <row r="1264">
          <cell r="A1264" t="str">
            <v>이재광</v>
          </cell>
          <cell r="B1264" t="str">
            <v>경기 고양시 덕양구 능곡로30-12,102-604</v>
          </cell>
          <cell r="C1264" t="str">
            <v>940104-1052818</v>
          </cell>
          <cell r="D1264" t="str">
            <v>010-7337-9427</v>
          </cell>
          <cell r="E1264">
            <v>200000</v>
          </cell>
          <cell r="F1264" t="str">
            <v>남</v>
          </cell>
          <cell r="G1264">
            <v>33</v>
          </cell>
          <cell r="H1264" t="str">
            <v>-</v>
          </cell>
          <cell r="J1264" t="str">
            <v>시스템</v>
          </cell>
          <cell r="K1264" t="str">
            <v>이정규팀</v>
          </cell>
          <cell r="O1264">
            <v>42552</v>
          </cell>
          <cell r="R1264">
            <v>46060</v>
          </cell>
          <cell r="S1264">
            <v>46060</v>
          </cell>
          <cell r="T1264">
            <v>46060</v>
          </cell>
          <cell r="V1264" t="str">
            <v>시스템서포트공</v>
          </cell>
        </row>
        <row r="1265">
          <cell r="A1265" t="str">
            <v>김용민</v>
          </cell>
          <cell r="B1265" t="str">
            <v>강원 원주시 무실로244</v>
          </cell>
          <cell r="C1265" t="str">
            <v>821020-1360121</v>
          </cell>
          <cell r="D1265" t="str">
            <v>010-3097-1087</v>
          </cell>
          <cell r="E1265">
            <v>200000</v>
          </cell>
          <cell r="F1265" t="str">
            <v>남</v>
          </cell>
          <cell r="G1265">
            <v>45</v>
          </cell>
          <cell r="H1265" t="str">
            <v>-</v>
          </cell>
          <cell r="J1265" t="str">
            <v>시스템</v>
          </cell>
          <cell r="K1265" t="str">
            <v>이정규팀</v>
          </cell>
          <cell r="O1265">
            <v>41778</v>
          </cell>
          <cell r="R1265">
            <v>46062</v>
          </cell>
          <cell r="S1265">
            <v>46062</v>
          </cell>
          <cell r="T1265">
            <v>46062</v>
          </cell>
          <cell r="V1265" t="str">
            <v>시스템서포트공</v>
          </cell>
        </row>
        <row r="1266">
          <cell r="A1266" t="str">
            <v>송유빈</v>
          </cell>
          <cell r="B1266" t="str">
            <v>경기 고양시 덕양구 행당로12-7,4-103</v>
          </cell>
          <cell r="C1266" t="str">
            <v>930511-1085214</v>
          </cell>
          <cell r="D1266" t="str">
            <v>010-4164-5891</v>
          </cell>
          <cell r="E1266">
            <v>200000</v>
          </cell>
          <cell r="F1266" t="str">
            <v>남</v>
          </cell>
          <cell r="G1266">
            <v>34</v>
          </cell>
          <cell r="H1266" t="str">
            <v>-</v>
          </cell>
          <cell r="J1266" t="str">
            <v>시스템</v>
          </cell>
          <cell r="K1266" t="str">
            <v>이정규팀</v>
          </cell>
          <cell r="O1266">
            <v>43809</v>
          </cell>
          <cell r="R1266">
            <v>46062</v>
          </cell>
          <cell r="S1266">
            <v>46062</v>
          </cell>
          <cell r="T1266">
            <v>46062</v>
          </cell>
          <cell r="V1266" t="str">
            <v>시스템서포트공</v>
          </cell>
        </row>
        <row r="1267">
          <cell r="A1267" t="str">
            <v>정의성</v>
          </cell>
          <cell r="B1267" t="str">
            <v>강원 원주 천매봉길 77</v>
          </cell>
          <cell r="C1267" t="str">
            <v>940414-1235412</v>
          </cell>
          <cell r="D1267" t="str">
            <v>010-9759-2013</v>
          </cell>
          <cell r="E1267">
            <v>200000</v>
          </cell>
          <cell r="F1267" t="str">
            <v>남</v>
          </cell>
          <cell r="G1267">
            <v>33</v>
          </cell>
          <cell r="H1267" t="str">
            <v>-</v>
          </cell>
          <cell r="J1267" t="str">
            <v>시스템</v>
          </cell>
          <cell r="K1267" t="str">
            <v>이정규팀</v>
          </cell>
          <cell r="O1267">
            <v>44419</v>
          </cell>
          <cell r="R1267">
            <v>46062</v>
          </cell>
          <cell r="S1267">
            <v>46062</v>
          </cell>
          <cell r="T1267">
            <v>46062</v>
          </cell>
          <cell r="V1267" t="str">
            <v>시스템서포트공</v>
          </cell>
        </row>
        <row r="1268">
          <cell r="A1268" t="str">
            <v>김정회</v>
          </cell>
          <cell r="B1268" t="str">
            <v>인천 부평구 마장로31번길 59, 8-302</v>
          </cell>
          <cell r="C1268" t="str">
            <v>910215-1050217</v>
          </cell>
          <cell r="D1268" t="str">
            <v>010-7662-9304</v>
          </cell>
          <cell r="E1268">
            <v>200000</v>
          </cell>
          <cell r="F1268" t="str">
            <v>남</v>
          </cell>
          <cell r="G1268">
            <v>36</v>
          </cell>
          <cell r="H1268" t="str">
            <v>-</v>
          </cell>
          <cell r="J1268" t="str">
            <v>시스템</v>
          </cell>
          <cell r="K1268" t="str">
            <v>이정규팀</v>
          </cell>
          <cell r="O1268">
            <v>41306</v>
          </cell>
          <cell r="R1268">
            <v>46064</v>
          </cell>
          <cell r="S1268">
            <v>46064</v>
          </cell>
          <cell r="T1268">
            <v>46064</v>
          </cell>
          <cell r="V1268" t="str">
            <v>시스템서포트공</v>
          </cell>
        </row>
        <row r="1269">
          <cell r="A1269" t="str">
            <v>최성민</v>
          </cell>
          <cell r="B1269" t="str">
            <v>경기 용인시 수지구 포은대로 478, 301</v>
          </cell>
          <cell r="C1269" t="str">
            <v>831227-1009110</v>
          </cell>
          <cell r="D1269" t="str">
            <v>010-3669-7714</v>
          </cell>
          <cell r="E1269">
            <v>200000</v>
          </cell>
          <cell r="F1269" t="str">
            <v>남</v>
          </cell>
          <cell r="G1269">
            <v>44</v>
          </cell>
          <cell r="H1269" t="str">
            <v>-</v>
          </cell>
          <cell r="J1269" t="str">
            <v>시스템</v>
          </cell>
          <cell r="K1269" t="str">
            <v>이정규팀</v>
          </cell>
          <cell r="O1269">
            <v>43073</v>
          </cell>
          <cell r="R1269">
            <v>46064</v>
          </cell>
          <cell r="S1269">
            <v>46064</v>
          </cell>
          <cell r="T1269">
            <v>46064</v>
          </cell>
          <cell r="V1269" t="str">
            <v>시스템서포트공</v>
          </cell>
        </row>
        <row r="1270">
          <cell r="A1270" t="str">
            <v>김선일</v>
          </cell>
          <cell r="B1270" t="str">
            <v>서울 성북구 성북로 23 나길 10-4</v>
          </cell>
          <cell r="C1270" t="str">
            <v>900605-1046618</v>
          </cell>
          <cell r="D1270" t="str">
            <v>010-4359-1955</v>
          </cell>
          <cell r="E1270">
            <v>200000</v>
          </cell>
          <cell r="F1270" t="str">
            <v>남</v>
          </cell>
          <cell r="G1270">
            <v>37</v>
          </cell>
          <cell r="H1270" t="str">
            <v>-</v>
          </cell>
          <cell r="J1270" t="str">
            <v>시스템</v>
          </cell>
          <cell r="K1270" t="str">
            <v>이정규팀</v>
          </cell>
          <cell r="O1270">
            <v>41900</v>
          </cell>
          <cell r="R1270">
            <v>46076</v>
          </cell>
          <cell r="S1270">
            <v>46076</v>
          </cell>
          <cell r="T1270">
            <v>46076</v>
          </cell>
          <cell r="V1270" t="str">
            <v>시스템서포트공</v>
          </cell>
        </row>
        <row r="1271">
          <cell r="A1271" t="str">
            <v>박철우</v>
          </cell>
          <cell r="B1271" t="str">
            <v>경북 포항시 남구 연일읍 유강길 10번길 42,202</v>
          </cell>
          <cell r="C1271" t="str">
            <v>891106-1704021</v>
          </cell>
          <cell r="D1271" t="str">
            <v>010-4487-9327</v>
          </cell>
          <cell r="E1271">
            <v>200000</v>
          </cell>
          <cell r="F1271" t="str">
            <v>남</v>
          </cell>
          <cell r="G1271">
            <v>38</v>
          </cell>
          <cell r="H1271" t="str">
            <v>-</v>
          </cell>
          <cell r="J1271" t="str">
            <v>시스템</v>
          </cell>
          <cell r="K1271" t="str">
            <v>이정규팀</v>
          </cell>
          <cell r="O1271">
            <v>42192</v>
          </cell>
          <cell r="R1271">
            <v>46083</v>
          </cell>
          <cell r="S1271">
            <v>46083</v>
          </cell>
          <cell r="T1271">
            <v>46083</v>
          </cell>
          <cell r="V1271" t="str">
            <v>시스템서포트공</v>
          </cell>
        </row>
        <row r="1272">
          <cell r="A1272" t="str">
            <v>박진혁</v>
          </cell>
          <cell r="B1272" t="str">
            <v>경남 창원 마산회원구 내서읍 호원로361-3, 104-2001</v>
          </cell>
          <cell r="C1272" t="str">
            <v>720114-1822117</v>
          </cell>
          <cell r="D1272" t="str">
            <v>010-2881-7686</v>
          </cell>
          <cell r="E1272">
            <v>200000</v>
          </cell>
          <cell r="F1272" t="str">
            <v>남</v>
          </cell>
          <cell r="G1272">
            <v>55</v>
          </cell>
          <cell r="H1272" t="str">
            <v>-</v>
          </cell>
          <cell r="J1272" t="str">
            <v>시스템</v>
          </cell>
          <cell r="K1272" t="str">
            <v>이정규팀</v>
          </cell>
          <cell r="O1272">
            <v>41065</v>
          </cell>
          <cell r="R1272">
            <v>46090</v>
          </cell>
          <cell r="S1272">
            <v>46090</v>
          </cell>
          <cell r="T1272">
            <v>46090</v>
          </cell>
          <cell r="V1272" t="str">
            <v>시스템서포트공</v>
          </cell>
        </row>
        <row r="1273">
          <cell r="A1273" t="str">
            <v>우현</v>
          </cell>
          <cell r="B1273" t="str">
            <v>경기 수원 권선구 삼천 1591-201</v>
          </cell>
          <cell r="C1273" t="str">
            <v>921113-1030121</v>
          </cell>
          <cell r="D1273" t="str">
            <v>010-7739-0585</v>
          </cell>
          <cell r="E1273">
            <v>200000</v>
          </cell>
          <cell r="F1273" t="str">
            <v>남</v>
          </cell>
          <cell r="G1273">
            <v>35</v>
          </cell>
          <cell r="H1273" t="str">
            <v>-</v>
          </cell>
          <cell r="J1273" t="str">
            <v>시스템</v>
          </cell>
          <cell r="K1273" t="str">
            <v>이정규팀</v>
          </cell>
          <cell r="O1273">
            <v>42964</v>
          </cell>
          <cell r="R1273">
            <v>46090</v>
          </cell>
          <cell r="S1273">
            <v>46090</v>
          </cell>
          <cell r="T1273">
            <v>46090</v>
          </cell>
          <cell r="V1273" t="str">
            <v>시스템서포트공</v>
          </cell>
        </row>
        <row r="1274">
          <cell r="A1274" t="str">
            <v>이종철</v>
          </cell>
          <cell r="B1274" t="str">
            <v>경기 남양주시 와부읍 수레로9, 24</v>
          </cell>
          <cell r="C1274" t="str">
            <v>731220-1815312</v>
          </cell>
          <cell r="D1274" t="str">
            <v>010-4414-1841</v>
          </cell>
          <cell r="E1274">
            <v>200000</v>
          </cell>
          <cell r="F1274" t="str">
            <v>남</v>
          </cell>
          <cell r="G1274">
            <v>54</v>
          </cell>
          <cell r="H1274" t="str">
            <v>-</v>
          </cell>
          <cell r="J1274" t="str">
            <v>시스템</v>
          </cell>
          <cell r="K1274" t="str">
            <v>이정규팀</v>
          </cell>
          <cell r="O1274">
            <v>41078</v>
          </cell>
          <cell r="R1274">
            <v>46090</v>
          </cell>
          <cell r="S1274">
            <v>46090</v>
          </cell>
          <cell r="T1274">
            <v>46090</v>
          </cell>
          <cell r="V1274" t="str">
            <v>시스템서포트공</v>
          </cell>
        </row>
        <row r="1275">
          <cell r="A1275" t="str">
            <v>김대년</v>
          </cell>
          <cell r="B1275" t="str">
            <v>경기 남양주시 와부읍 덕소로2번 39, 105-201</v>
          </cell>
          <cell r="C1275" t="str">
            <v>680226-1720914</v>
          </cell>
          <cell r="D1275" t="str">
            <v>010-5359-2199</v>
          </cell>
          <cell r="E1275">
            <v>200000</v>
          </cell>
          <cell r="F1275" t="str">
            <v>남</v>
          </cell>
          <cell r="G1275">
            <v>59</v>
          </cell>
          <cell r="H1275" t="str">
            <v>-</v>
          </cell>
          <cell r="J1275" t="str">
            <v>시스템</v>
          </cell>
          <cell r="K1275" t="str">
            <v>이정규팀</v>
          </cell>
          <cell r="O1275">
            <v>41904</v>
          </cell>
          <cell r="R1275">
            <v>46090</v>
          </cell>
          <cell r="S1275">
            <v>46090</v>
          </cell>
          <cell r="T1275">
            <v>46090</v>
          </cell>
          <cell r="V1275" t="str">
            <v>시스템서포트공</v>
          </cell>
        </row>
        <row r="1276">
          <cell r="A1276" t="str">
            <v>김형준</v>
          </cell>
          <cell r="B1276" t="str">
            <v>경기 남양주 미금로 19번길 12-1, 1호</v>
          </cell>
          <cell r="C1276" t="str">
            <v>741012-1173815</v>
          </cell>
          <cell r="D1276" t="str">
            <v>010-3790-6072</v>
          </cell>
          <cell r="E1276">
            <v>200000</v>
          </cell>
          <cell r="F1276" t="str">
            <v>남</v>
          </cell>
          <cell r="G1276">
            <v>53</v>
          </cell>
          <cell r="H1276" t="str">
            <v>-</v>
          </cell>
          <cell r="J1276" t="str">
            <v>시스템</v>
          </cell>
          <cell r="K1276" t="str">
            <v>이정규팀</v>
          </cell>
          <cell r="O1276">
            <v>41509</v>
          </cell>
          <cell r="R1276">
            <v>46091</v>
          </cell>
          <cell r="S1276">
            <v>46091</v>
          </cell>
          <cell r="T1276">
            <v>46091</v>
          </cell>
          <cell r="V1276" t="str">
            <v>시스템서포트공</v>
          </cell>
        </row>
        <row r="1277">
          <cell r="A1277" t="str">
            <v>이재상</v>
          </cell>
          <cell r="B1277" t="str">
            <v>대구 달서구 선원남로99 301-1001</v>
          </cell>
          <cell r="C1277" t="str">
            <v>861201-1671628</v>
          </cell>
          <cell r="D1277" t="str">
            <v>010-4152-4052</v>
          </cell>
          <cell r="E1277">
            <v>200000</v>
          </cell>
          <cell r="F1277" t="str">
            <v>남</v>
          </cell>
          <cell r="G1277">
            <v>41</v>
          </cell>
          <cell r="H1277" t="str">
            <v>-</v>
          </cell>
          <cell r="J1277" t="str">
            <v>시스템</v>
          </cell>
          <cell r="K1277" t="str">
            <v>이정규팀</v>
          </cell>
          <cell r="O1277">
            <v>43920</v>
          </cell>
          <cell r="R1277">
            <v>46091</v>
          </cell>
          <cell r="S1277">
            <v>46091</v>
          </cell>
          <cell r="T1277">
            <v>46091</v>
          </cell>
          <cell r="V1277" t="str">
            <v>시스템서포트공</v>
          </cell>
        </row>
        <row r="1278">
          <cell r="A1278" t="str">
            <v>김병용</v>
          </cell>
          <cell r="B1278" t="str">
            <v>대구 북구 노원로10길 40, 109-803</v>
          </cell>
          <cell r="C1278" t="str">
            <v>730603-1079516</v>
          </cell>
          <cell r="D1278" t="str">
            <v>010-4189-6347</v>
          </cell>
          <cell r="E1278">
            <v>200000</v>
          </cell>
          <cell r="F1278" t="str">
            <v>남</v>
          </cell>
          <cell r="G1278">
            <v>54</v>
          </cell>
          <cell r="H1278" t="str">
            <v>-</v>
          </cell>
          <cell r="J1278" t="str">
            <v>시스템</v>
          </cell>
          <cell r="K1278" t="str">
            <v>이정규팀</v>
          </cell>
          <cell r="O1278">
            <v>41193</v>
          </cell>
          <cell r="R1278">
            <v>46099</v>
          </cell>
          <cell r="S1278">
            <v>46099</v>
          </cell>
          <cell r="T1278">
            <v>46099</v>
          </cell>
          <cell r="V1278" t="str">
            <v>시스템서포트공</v>
          </cell>
        </row>
        <row r="1279">
          <cell r="A1279" t="str">
            <v>김성철시</v>
          </cell>
          <cell r="B1279" t="str">
            <v>충북 청주시 서원구 1순환로633번길59,401</v>
          </cell>
          <cell r="C1279" t="str">
            <v>850115-1332968</v>
          </cell>
          <cell r="D1279" t="str">
            <v>010-8456-6932</v>
          </cell>
          <cell r="E1279">
            <v>200000</v>
          </cell>
          <cell r="F1279" t="str">
            <v>남</v>
          </cell>
          <cell r="G1279">
            <v>42</v>
          </cell>
          <cell r="H1279" t="str">
            <v>-</v>
          </cell>
          <cell r="J1279" t="str">
            <v>시스템</v>
          </cell>
          <cell r="K1279" t="str">
            <v>이정규팀</v>
          </cell>
          <cell r="O1279">
            <v>41423</v>
          </cell>
          <cell r="R1279">
            <v>46104</v>
          </cell>
          <cell r="S1279">
            <v>46104</v>
          </cell>
          <cell r="T1279">
            <v>46104</v>
          </cell>
          <cell r="V1279" t="str">
            <v>시스템서포트공</v>
          </cell>
        </row>
        <row r="1280">
          <cell r="A1280" t="str">
            <v>정준수</v>
          </cell>
          <cell r="B1280" t="str">
            <v>전남 순천 오천7길 29, 106-701</v>
          </cell>
          <cell r="C1280" t="str">
            <v>880703-1580822</v>
          </cell>
          <cell r="D1280" t="str">
            <v>010-8900-5463</v>
          </cell>
          <cell r="E1280">
            <v>200000</v>
          </cell>
          <cell r="F1280" t="str">
            <v>남</v>
          </cell>
          <cell r="G1280">
            <v>39</v>
          </cell>
          <cell r="H1280" t="str">
            <v>-</v>
          </cell>
          <cell r="J1280" t="str">
            <v>시스템</v>
          </cell>
          <cell r="K1280" t="str">
            <v>이정규팀</v>
          </cell>
          <cell r="O1280">
            <v>42252</v>
          </cell>
          <cell r="R1280">
            <v>46108</v>
          </cell>
          <cell r="S1280">
            <v>46108</v>
          </cell>
          <cell r="T1280">
            <v>46108</v>
          </cell>
          <cell r="V1280" t="str">
            <v>시스템서포트공</v>
          </cell>
        </row>
        <row r="1281">
          <cell r="A1281" t="str">
            <v>이정호</v>
          </cell>
          <cell r="B1281" t="str">
            <v>경기 수원시 도원동 782, 203호</v>
          </cell>
          <cell r="C1281" t="str">
            <v>910720-1731011</v>
          </cell>
          <cell r="D1281" t="str">
            <v>010-3981-7197</v>
          </cell>
          <cell r="E1281">
            <v>200000</v>
          </cell>
          <cell r="F1281" t="str">
            <v>남</v>
          </cell>
          <cell r="G1281">
            <v>36</v>
          </cell>
          <cell r="H1281" t="str">
            <v>-</v>
          </cell>
          <cell r="J1281" t="str">
            <v>시스템</v>
          </cell>
          <cell r="K1281" t="str">
            <v>이정규팀</v>
          </cell>
          <cell r="O1281">
            <v>42170</v>
          </cell>
          <cell r="R1281">
            <v>46114</v>
          </cell>
          <cell r="S1281">
            <v>46114</v>
          </cell>
          <cell r="T1281">
            <v>46114</v>
          </cell>
          <cell r="V1281" t="str">
            <v>시스템서포트공</v>
          </cell>
        </row>
        <row r="1282">
          <cell r="A1282" t="str">
            <v>김범종</v>
          </cell>
          <cell r="B1282" t="str">
            <v>충남 당진시 송악읍 정곡로576-28, 301</v>
          </cell>
          <cell r="C1282" t="str">
            <v>891130-1495626</v>
          </cell>
          <cell r="D1282" t="str">
            <v>010-8069-6200</v>
          </cell>
          <cell r="E1282">
            <v>200000</v>
          </cell>
          <cell r="F1282" t="str">
            <v>남</v>
          </cell>
          <cell r="G1282">
            <v>38</v>
          </cell>
          <cell r="H1282" t="str">
            <v>-</v>
          </cell>
          <cell r="J1282" t="str">
            <v>시스템</v>
          </cell>
          <cell r="K1282" t="str">
            <v>이정규팀</v>
          </cell>
          <cell r="O1282">
            <v>41191</v>
          </cell>
          <cell r="R1282">
            <v>46118</v>
          </cell>
          <cell r="S1282">
            <v>46118</v>
          </cell>
          <cell r="T1282">
            <v>46118</v>
          </cell>
          <cell r="V1282" t="str">
            <v>시스템서포트공</v>
          </cell>
        </row>
        <row r="1283">
          <cell r="A1283" t="str">
            <v>오인석</v>
          </cell>
          <cell r="B1283" t="str">
            <v>전남 곡성군 석곡면 능파길 14-3</v>
          </cell>
          <cell r="C1283" t="str">
            <v>961012-1626111</v>
          </cell>
          <cell r="D1283" t="str">
            <v>010-8248-3163</v>
          </cell>
          <cell r="E1283">
            <v>200000</v>
          </cell>
          <cell r="F1283" t="str">
            <v>남</v>
          </cell>
          <cell r="G1283">
            <v>31</v>
          </cell>
          <cell r="H1283" t="str">
            <v>-</v>
          </cell>
          <cell r="J1283" t="str">
            <v>시스템</v>
          </cell>
          <cell r="K1283" t="str">
            <v>이정규팀</v>
          </cell>
          <cell r="O1283">
            <v>45580</v>
          </cell>
          <cell r="R1283">
            <v>46123</v>
          </cell>
          <cell r="S1283">
            <v>46123</v>
          </cell>
          <cell r="T1283">
            <v>46123</v>
          </cell>
          <cell r="V1283" t="str">
            <v>시스템서포트공</v>
          </cell>
        </row>
        <row r="1284">
          <cell r="A1284" t="str">
            <v>방수만</v>
          </cell>
          <cell r="B1284" t="str">
            <v>부산 기장 기장 기장대로 563 105-802</v>
          </cell>
          <cell r="C1284" t="str">
            <v>820627-1122511</v>
          </cell>
          <cell r="D1284" t="str">
            <v>010-7939-6250</v>
          </cell>
          <cell r="E1284">
            <v>200000</v>
          </cell>
          <cell r="F1284" t="str">
            <v>남</v>
          </cell>
          <cell r="G1284">
            <v>45</v>
          </cell>
          <cell r="H1284" t="str">
            <v>-</v>
          </cell>
          <cell r="J1284" t="str">
            <v>시스템</v>
          </cell>
          <cell r="K1284" t="str">
            <v>이정규팀</v>
          </cell>
          <cell r="O1284">
            <v>44705</v>
          </cell>
          <cell r="R1284">
            <v>46132</v>
          </cell>
          <cell r="S1284">
            <v>46132</v>
          </cell>
          <cell r="T1284">
            <v>46132</v>
          </cell>
          <cell r="V1284" t="str">
            <v>시스템서포트공</v>
          </cell>
        </row>
        <row r="1285">
          <cell r="A1285" t="str">
            <v>박기범</v>
          </cell>
          <cell r="B1285" t="str">
            <v>강원 동해 구미3길 46,12동 304호</v>
          </cell>
          <cell r="C1285" t="str">
            <v>960816-1301115</v>
          </cell>
          <cell r="D1285" t="str">
            <v>010-9849-5505</v>
          </cell>
          <cell r="E1285">
            <v>200000</v>
          </cell>
          <cell r="F1285" t="str">
            <v>남</v>
          </cell>
          <cell r="G1285">
            <v>31</v>
          </cell>
          <cell r="H1285" t="str">
            <v>-</v>
          </cell>
          <cell r="J1285" t="str">
            <v>시스템</v>
          </cell>
          <cell r="K1285" t="str">
            <v>이정규팀</v>
          </cell>
          <cell r="O1285">
            <v>44470</v>
          </cell>
          <cell r="R1285">
            <v>46150</v>
          </cell>
          <cell r="S1285">
            <v>46150</v>
          </cell>
          <cell r="T1285">
            <v>46150</v>
          </cell>
          <cell r="V1285" t="str">
            <v>시스템서포트공</v>
          </cell>
        </row>
        <row r="1286">
          <cell r="A1286" t="str">
            <v>박호제</v>
          </cell>
          <cell r="B1286" t="str">
            <v>충북 진천군 진천읍 번앙길 36</v>
          </cell>
          <cell r="C1286" t="str">
            <v>690305-1231718</v>
          </cell>
          <cell r="D1286" t="str">
            <v>010-7930-5180</v>
          </cell>
          <cell r="E1286">
            <v>200000</v>
          </cell>
          <cell r="F1286" t="str">
            <v>남</v>
          </cell>
          <cell r="G1286">
            <v>58</v>
          </cell>
          <cell r="H1286" t="str">
            <v>-</v>
          </cell>
          <cell r="J1286" t="str">
            <v>시스템</v>
          </cell>
          <cell r="K1286" t="str">
            <v>이정규팀</v>
          </cell>
          <cell r="O1286">
            <v>41345</v>
          </cell>
          <cell r="R1286">
            <v>46150</v>
          </cell>
          <cell r="S1286">
            <v>46150</v>
          </cell>
          <cell r="T1286">
            <v>46150</v>
          </cell>
          <cell r="V1286" t="str">
            <v>시스템서포트공</v>
          </cell>
        </row>
        <row r="1287">
          <cell r="A1287" t="str">
            <v>서동철</v>
          </cell>
          <cell r="B1287" t="str">
            <v>경기 포천시 호국로964,308</v>
          </cell>
          <cell r="C1287" t="str">
            <v>760123-1581519</v>
          </cell>
          <cell r="D1287" t="str">
            <v>010-7302-2800</v>
          </cell>
          <cell r="E1287">
            <v>200000</v>
          </cell>
          <cell r="F1287" t="str">
            <v>남</v>
          </cell>
          <cell r="G1287">
            <v>51</v>
          </cell>
          <cell r="H1287" t="str">
            <v>-</v>
          </cell>
          <cell r="J1287" t="str">
            <v>시스템</v>
          </cell>
          <cell r="K1287" t="str">
            <v>이정규팀</v>
          </cell>
          <cell r="O1287">
            <v>42325</v>
          </cell>
          <cell r="R1287">
            <v>46150</v>
          </cell>
          <cell r="S1287">
            <v>46150</v>
          </cell>
          <cell r="T1287">
            <v>46150</v>
          </cell>
          <cell r="V1287" t="str">
            <v>시스템서포트공</v>
          </cell>
        </row>
        <row r="1288">
          <cell r="A1288" t="str">
            <v>이근기</v>
          </cell>
          <cell r="B1288" t="str">
            <v>강원 강릉 율곡초교길 11번길</v>
          </cell>
          <cell r="C1288" t="str">
            <v>780217-1528713</v>
          </cell>
          <cell r="D1288" t="str">
            <v>010-2391-2054</v>
          </cell>
          <cell r="E1288">
            <v>200000</v>
          </cell>
          <cell r="F1288" t="str">
            <v>남</v>
          </cell>
          <cell r="G1288">
            <v>49</v>
          </cell>
          <cell r="H1288" t="str">
            <v>-</v>
          </cell>
          <cell r="J1288" t="str">
            <v>시스템</v>
          </cell>
          <cell r="K1288" t="str">
            <v>이정규팀</v>
          </cell>
          <cell r="O1288">
            <v>41439</v>
          </cell>
          <cell r="R1288">
            <v>46150</v>
          </cell>
          <cell r="S1288">
            <v>46150</v>
          </cell>
          <cell r="T1288">
            <v>46150</v>
          </cell>
          <cell r="V1288" t="str">
            <v>시스템서포트공</v>
          </cell>
        </row>
        <row r="1289">
          <cell r="A1289" t="str">
            <v>전갑용</v>
          </cell>
          <cell r="B1289" t="str">
            <v>경기 수원시 팔달구 팔달문로 19</v>
          </cell>
          <cell r="C1289" t="str">
            <v>650122-1775717</v>
          </cell>
          <cell r="D1289" t="str">
            <v>010-7514-7079</v>
          </cell>
          <cell r="E1289">
            <v>200000</v>
          </cell>
          <cell r="F1289" t="str">
            <v>남</v>
          </cell>
          <cell r="G1289">
            <v>62</v>
          </cell>
          <cell r="H1289" t="str">
            <v>-</v>
          </cell>
          <cell r="J1289" t="str">
            <v>시스템</v>
          </cell>
          <cell r="K1289" t="str">
            <v>이정규팀</v>
          </cell>
          <cell r="O1289">
            <v>41754</v>
          </cell>
          <cell r="R1289">
            <v>46150</v>
          </cell>
          <cell r="S1289">
            <v>46150</v>
          </cell>
          <cell r="T1289">
            <v>46150</v>
          </cell>
          <cell r="V1289" t="str">
            <v>시스템서포트공</v>
          </cell>
        </row>
        <row r="1290">
          <cell r="A1290" t="str">
            <v>박민서</v>
          </cell>
          <cell r="B1290" t="str">
            <v>강원 강릉시 강변로 58, 201-1001</v>
          </cell>
          <cell r="C1290" t="str">
            <v>990917-1345919</v>
          </cell>
          <cell r="E1290">
            <v>200000</v>
          </cell>
          <cell r="F1290" t="str">
            <v>남</v>
          </cell>
          <cell r="G1290">
            <v>28</v>
          </cell>
          <cell r="H1290" t="str">
            <v>-</v>
          </cell>
          <cell r="J1290" t="str">
            <v>시스템</v>
          </cell>
          <cell r="K1290" t="str">
            <v>이정규팀</v>
          </cell>
          <cell r="O1290">
            <v>44267</v>
          </cell>
          <cell r="S1290">
            <v>46162</v>
          </cell>
          <cell r="T1290">
            <v>46162</v>
          </cell>
          <cell r="V1290" t="str">
            <v>시스템서포트공</v>
          </cell>
        </row>
        <row r="1291">
          <cell r="A1291" t="str">
            <v>이홍준</v>
          </cell>
          <cell r="B1291" t="str">
            <v>강원 강릉시 화산로 383번길 37, 102-1903</v>
          </cell>
          <cell r="C1291" t="str">
            <v>651225-1919456</v>
          </cell>
          <cell r="E1291">
            <v>200000</v>
          </cell>
          <cell r="F1291" t="str">
            <v>남</v>
          </cell>
          <cell r="G1291">
            <v>62</v>
          </cell>
          <cell r="H1291" t="str">
            <v>-</v>
          </cell>
          <cell r="J1291" t="str">
            <v>시스템</v>
          </cell>
          <cell r="K1291" t="str">
            <v>이정규팀</v>
          </cell>
          <cell r="O1291">
            <v>44768</v>
          </cell>
          <cell r="S1291">
            <v>46162</v>
          </cell>
          <cell r="T1291">
            <v>46162</v>
          </cell>
          <cell r="V1291" t="str">
            <v>시스템서포트공</v>
          </cell>
        </row>
        <row r="1292">
          <cell r="A1292" t="str">
            <v>박고현</v>
          </cell>
          <cell r="B1292" t="str">
            <v>경기 안양 만완 안양로 406번길 21-2 지층</v>
          </cell>
          <cell r="C1292" t="str">
            <v>971006-1248315</v>
          </cell>
          <cell r="D1292" t="str">
            <v>010-8487-6761</v>
          </cell>
          <cell r="E1292">
            <v>200000</v>
          </cell>
          <cell r="F1292" t="str">
            <v>남</v>
          </cell>
          <cell r="G1292">
            <v>30</v>
          </cell>
          <cell r="H1292" t="str">
            <v>-</v>
          </cell>
          <cell r="J1292" t="str">
            <v>시스템</v>
          </cell>
          <cell r="K1292" t="str">
            <v>이정규팀</v>
          </cell>
          <cell r="O1292">
            <v>43648</v>
          </cell>
          <cell r="R1292">
            <v>46164</v>
          </cell>
          <cell r="S1292">
            <v>46164</v>
          </cell>
          <cell r="T1292">
            <v>46164</v>
          </cell>
          <cell r="V1292" t="str">
            <v>시스템서포트공</v>
          </cell>
        </row>
        <row r="1293">
          <cell r="A1293" t="str">
            <v>이원상</v>
          </cell>
          <cell r="B1293" t="str">
            <v>경기 이천 향교로 107번길9, A-303</v>
          </cell>
          <cell r="C1293" t="str">
            <v>831026-1178619</v>
          </cell>
          <cell r="D1293" t="str">
            <v>010-9176-8310</v>
          </cell>
          <cell r="E1293">
            <v>200000</v>
          </cell>
          <cell r="F1293" t="str">
            <v>남</v>
          </cell>
          <cell r="G1293">
            <v>44</v>
          </cell>
          <cell r="H1293" t="str">
            <v>-</v>
          </cell>
          <cell r="J1293" t="str">
            <v>시스템</v>
          </cell>
          <cell r="K1293" t="str">
            <v>이정규팀</v>
          </cell>
          <cell r="O1293">
            <v>42843</v>
          </cell>
          <cell r="R1293">
            <v>46164</v>
          </cell>
          <cell r="S1293">
            <v>46164</v>
          </cell>
          <cell r="T1293">
            <v>46164</v>
          </cell>
          <cell r="V1293" t="str">
            <v>시스템서포트공</v>
          </cell>
        </row>
        <row r="1294">
          <cell r="A1294" t="str">
            <v>송건우</v>
          </cell>
          <cell r="B1294" t="str">
            <v>충남 서산 석림4로 83, 207-603</v>
          </cell>
          <cell r="C1294" t="str">
            <v>950419-1417516</v>
          </cell>
          <cell r="D1294" t="str">
            <v>010-8071-3238</v>
          </cell>
          <cell r="E1294">
            <v>200000</v>
          </cell>
          <cell r="F1294" t="str">
            <v>남</v>
          </cell>
          <cell r="G1294">
            <v>32</v>
          </cell>
          <cell r="H1294" t="str">
            <v>-</v>
          </cell>
          <cell r="J1294" t="str">
            <v>시스템</v>
          </cell>
          <cell r="K1294" t="str">
            <v>이정규팀</v>
          </cell>
          <cell r="O1294">
            <v>42293</v>
          </cell>
          <cell r="R1294">
            <v>46184</v>
          </cell>
          <cell r="S1294">
            <v>46184</v>
          </cell>
          <cell r="T1294">
            <v>46184</v>
          </cell>
          <cell r="V1294" t="str">
            <v>시스템서포트공</v>
          </cell>
        </row>
        <row r="1295">
          <cell r="A1295" t="str">
            <v>김동욱</v>
          </cell>
          <cell r="B1295" t="str">
            <v>대구 동구 동촌로 299, 303</v>
          </cell>
          <cell r="C1295" t="str">
            <v>930721-1100914</v>
          </cell>
          <cell r="D1295" t="str">
            <v>010-9665-6601</v>
          </cell>
          <cell r="E1295">
            <v>200000</v>
          </cell>
          <cell r="F1295" t="str">
            <v>남</v>
          </cell>
          <cell r="G1295">
            <v>34</v>
          </cell>
          <cell r="H1295" t="str">
            <v>-</v>
          </cell>
          <cell r="J1295" t="str">
            <v>시스템</v>
          </cell>
          <cell r="K1295" t="str">
            <v>이정규팀</v>
          </cell>
          <cell r="O1295">
            <v>44673</v>
          </cell>
          <cell r="R1295">
            <v>46227</v>
          </cell>
          <cell r="S1295">
            <v>46227</v>
          </cell>
          <cell r="T1295">
            <v>46227</v>
          </cell>
          <cell r="V1295" t="str">
            <v>시스템서포트공</v>
          </cell>
        </row>
        <row r="1296">
          <cell r="A1296" t="str">
            <v>김민수</v>
          </cell>
          <cell r="B1296" t="str">
            <v>경기 수원시 경수대로 642번길 50</v>
          </cell>
          <cell r="C1296" t="str">
            <v>010303-3165112</v>
          </cell>
          <cell r="D1296" t="str">
            <v>010-5895-1723</v>
          </cell>
          <cell r="E1296">
            <v>200000</v>
          </cell>
          <cell r="F1296" t="str">
            <v>남</v>
          </cell>
          <cell r="G1296">
            <v>26</v>
          </cell>
          <cell r="H1296" t="str">
            <v>-</v>
          </cell>
          <cell r="J1296" t="str">
            <v>시스템</v>
          </cell>
          <cell r="K1296" t="str">
            <v>이정규팀</v>
          </cell>
          <cell r="O1296">
            <v>45721</v>
          </cell>
          <cell r="R1296">
            <v>46227</v>
          </cell>
          <cell r="S1296">
            <v>46227</v>
          </cell>
          <cell r="T1296">
            <v>46227</v>
          </cell>
        </row>
        <row r="1297">
          <cell r="A1297" t="str">
            <v>김갑진</v>
          </cell>
          <cell r="B1297" t="str">
            <v>부산 동래구 안남로 36, 204-1604</v>
          </cell>
          <cell r="C1297" t="str">
            <v>810527-1916625</v>
          </cell>
          <cell r="D1297" t="str">
            <v>010-9384-1780</v>
          </cell>
          <cell r="E1297">
            <v>200000</v>
          </cell>
          <cell r="F1297" t="str">
            <v>남</v>
          </cell>
          <cell r="G1297">
            <v>46</v>
          </cell>
          <cell r="H1297" t="str">
            <v>-</v>
          </cell>
          <cell r="J1297" t="str">
            <v>시스템</v>
          </cell>
          <cell r="K1297" t="str">
            <v>이정규팀</v>
          </cell>
          <cell r="O1297">
            <v>43031</v>
          </cell>
          <cell r="R1297">
            <v>46230</v>
          </cell>
          <cell r="S1297">
            <v>46230</v>
          </cell>
          <cell r="T1297">
            <v>46230</v>
          </cell>
          <cell r="V1297" t="str">
            <v>시스템서포트공</v>
          </cell>
        </row>
        <row r="1298">
          <cell r="A1298" t="str">
            <v>마영수</v>
          </cell>
          <cell r="B1298" t="str">
            <v>경기 시흥 정왕천로 447번길11, 301호</v>
          </cell>
          <cell r="C1298" t="str">
            <v>840405-5760050</v>
          </cell>
          <cell r="D1298" t="str">
            <v>010-7622-6116</v>
          </cell>
          <cell r="E1298">
            <v>200000</v>
          </cell>
          <cell r="F1298" t="str">
            <v>남</v>
          </cell>
          <cell r="G1298">
            <v>43</v>
          </cell>
          <cell r="H1298" t="str">
            <v>외국인</v>
          </cell>
          <cell r="I1298" t="str">
            <v>MA YONGZHU</v>
          </cell>
          <cell r="J1298" t="str">
            <v>시스템</v>
          </cell>
          <cell r="K1298" t="str">
            <v>이정규팀</v>
          </cell>
          <cell r="O1298">
            <v>42633</v>
          </cell>
          <cell r="P1298" t="str">
            <v>영주F5</v>
          </cell>
          <cell r="Q1298">
            <v>49288</v>
          </cell>
          <cell r="R1298">
            <v>46230</v>
          </cell>
          <cell r="S1298">
            <v>46230</v>
          </cell>
          <cell r="T1298">
            <v>46230</v>
          </cell>
          <cell r="V1298" t="str">
            <v>시스템서포트공</v>
          </cell>
          <cell r="W1298" t="str">
            <v>중국</v>
          </cell>
        </row>
        <row r="1299">
          <cell r="A1299" t="str">
            <v>조병권</v>
          </cell>
          <cell r="B1299" t="str">
            <v>경기 수원 장안구 영화로14,26,지층B-5호</v>
          </cell>
          <cell r="C1299" t="str">
            <v>890504-5100133</v>
          </cell>
          <cell r="D1299" t="str">
            <v>010-7656-6563</v>
          </cell>
          <cell r="E1299">
            <v>200000</v>
          </cell>
          <cell r="F1299" t="str">
            <v>남</v>
          </cell>
          <cell r="G1299">
            <v>38</v>
          </cell>
          <cell r="H1299" t="str">
            <v>외국인</v>
          </cell>
          <cell r="I1299" t="str">
            <v>ZHAO BINGQUAN</v>
          </cell>
          <cell r="J1299" t="str">
            <v>시스템</v>
          </cell>
          <cell r="K1299" t="str">
            <v>이정규팀</v>
          </cell>
          <cell r="O1299">
            <v>42397</v>
          </cell>
          <cell r="P1299" t="str">
            <v>재외동포F4</v>
          </cell>
          <cell r="Q1299">
            <v>46895</v>
          </cell>
          <cell r="R1299">
            <v>46230</v>
          </cell>
          <cell r="S1299">
            <v>46230</v>
          </cell>
          <cell r="T1299">
            <v>46230</v>
          </cell>
          <cell r="V1299" t="str">
            <v>시스템서포트공</v>
          </cell>
          <cell r="W1299" t="str">
            <v>중국</v>
          </cell>
        </row>
        <row r="1300">
          <cell r="A1300" t="str">
            <v>안승주</v>
          </cell>
          <cell r="B1300" t="str">
            <v>경기 수원 영동구 동수원로 542-23,202호</v>
          </cell>
          <cell r="C1300" t="str">
            <v>810815-1644026</v>
          </cell>
          <cell r="D1300" t="str">
            <v>010-2445-6855</v>
          </cell>
          <cell r="E1300">
            <v>200000</v>
          </cell>
          <cell r="F1300" t="str">
            <v>남</v>
          </cell>
          <cell r="G1300">
            <v>46</v>
          </cell>
          <cell r="H1300" t="str">
            <v>-</v>
          </cell>
          <cell r="J1300" t="str">
            <v>시스템</v>
          </cell>
          <cell r="K1300" t="str">
            <v>이정규팀</v>
          </cell>
          <cell r="O1300">
            <v>41900</v>
          </cell>
          <cell r="R1300">
            <v>46232</v>
          </cell>
          <cell r="S1300">
            <v>46232</v>
          </cell>
          <cell r="T1300">
            <v>46232</v>
          </cell>
          <cell r="V1300" t="str">
            <v>시스템서포트공</v>
          </cell>
        </row>
        <row r="1301">
          <cell r="F1301" t="str">
            <v/>
          </cell>
          <cell r="G1301" t="str">
            <v/>
          </cell>
          <cell r="H1301" t="str">
            <v/>
          </cell>
          <cell r="Q1301" t="str">
            <v/>
          </cell>
        </row>
        <row r="1302">
          <cell r="F1302" t="str">
            <v/>
          </cell>
          <cell r="G1302" t="str">
            <v/>
          </cell>
          <cell r="H1302" t="str">
            <v/>
          </cell>
          <cell r="Q1302" t="str">
            <v/>
          </cell>
        </row>
        <row r="1303">
          <cell r="F1303" t="str">
            <v/>
          </cell>
          <cell r="G1303" t="str">
            <v/>
          </cell>
          <cell r="H1303" t="str">
            <v/>
          </cell>
          <cell r="Q1303" t="str">
            <v/>
          </cell>
        </row>
        <row r="1304">
          <cell r="A1304" t="str">
            <v>아르좀</v>
          </cell>
          <cell r="B1304" t="str">
            <v>강릉시 율곡로 2879번길 31-1</v>
          </cell>
          <cell r="C1304" t="str">
            <v>900117-5</v>
          </cell>
          <cell r="D1304" t="str">
            <v>010-7027-3299</v>
          </cell>
          <cell r="E1304">
            <v>200000</v>
          </cell>
          <cell r="F1304" t="str">
            <v>남</v>
          </cell>
          <cell r="G1304">
            <v>37</v>
          </cell>
          <cell r="H1304" t="str">
            <v>외국인</v>
          </cell>
          <cell r="I1304" t="str">
            <v>VISHNIAKOV ARTEM</v>
          </cell>
          <cell r="J1304" t="str">
            <v>시스템</v>
          </cell>
          <cell r="K1304" t="str">
            <v>이정규팀</v>
          </cell>
          <cell r="O1304">
            <v>44201</v>
          </cell>
          <cell r="R1304">
            <v>46150</v>
          </cell>
          <cell r="S1304">
            <v>46150</v>
          </cell>
          <cell r="T1304">
            <v>46150</v>
          </cell>
          <cell r="U1304">
            <v>756057309</v>
          </cell>
          <cell r="V1304" t="str">
            <v>시스템서포트공</v>
          </cell>
          <cell r="W1304" t="str">
            <v>러시아</v>
          </cell>
        </row>
        <row r="1305">
          <cell r="A1305" t="str">
            <v>아사드</v>
          </cell>
          <cell r="C1305" t="str">
            <v>020505-5</v>
          </cell>
          <cell r="D1305" t="str">
            <v>010-</v>
          </cell>
          <cell r="E1305">
            <v>200000</v>
          </cell>
          <cell r="F1305" t="str">
            <v>남</v>
          </cell>
          <cell r="G1305">
            <v>25</v>
          </cell>
          <cell r="H1305" t="str">
            <v>외국인</v>
          </cell>
          <cell r="I1305" t="str">
            <v>GULOMOV ASADBEK</v>
          </cell>
          <cell r="J1305" t="str">
            <v>시스템</v>
          </cell>
          <cell r="K1305" t="str">
            <v>이정규팀</v>
          </cell>
          <cell r="O1305" t="str">
            <v>X</v>
          </cell>
          <cell r="R1305">
            <v>46174</v>
          </cell>
          <cell r="S1305">
            <v>46174</v>
          </cell>
          <cell r="T1305">
            <v>46174</v>
          </cell>
          <cell r="U1305" t="str">
            <v>AB9586345</v>
          </cell>
          <cell r="V1305" t="str">
            <v>시스템서포트공</v>
          </cell>
          <cell r="W1305" t="str">
            <v>우즈베키스탄</v>
          </cell>
        </row>
        <row r="1306">
          <cell r="A1306" t="str">
            <v>알리시</v>
          </cell>
          <cell r="C1306" t="str">
            <v>030302-5</v>
          </cell>
          <cell r="D1306" t="str">
            <v>010-3905-5023</v>
          </cell>
          <cell r="E1306">
            <v>200000</v>
          </cell>
          <cell r="F1306" t="str">
            <v>남</v>
          </cell>
          <cell r="G1306">
            <v>24</v>
          </cell>
          <cell r="H1306" t="str">
            <v>외국인</v>
          </cell>
          <cell r="I1306" t="str">
            <v>ABDUVOKHIDOV MUKHAMMADYUSUF</v>
          </cell>
          <cell r="J1306" t="str">
            <v>시스템</v>
          </cell>
          <cell r="K1306" t="str">
            <v>이정규팀</v>
          </cell>
          <cell r="O1306" t="str">
            <v>X</v>
          </cell>
          <cell r="R1306">
            <v>46174</v>
          </cell>
          <cell r="S1306">
            <v>46174</v>
          </cell>
          <cell r="T1306">
            <v>46174</v>
          </cell>
          <cell r="U1306" t="str">
            <v>AC1831656</v>
          </cell>
          <cell r="V1306" t="str">
            <v>시스템서포트공</v>
          </cell>
          <cell r="W1306" t="str">
            <v>우즈베키스탄</v>
          </cell>
        </row>
        <row r="1307">
          <cell r="F1307" t="str">
            <v/>
          </cell>
          <cell r="G1307" t="str">
            <v/>
          </cell>
          <cell r="H1307" t="str">
            <v/>
          </cell>
          <cell r="Q1307" t="str">
            <v/>
          </cell>
        </row>
        <row r="1308">
          <cell r="A1308" t="str">
            <v>해체</v>
          </cell>
          <cell r="F1308" t="str">
            <v/>
          </cell>
          <cell r="G1308" t="str">
            <v/>
          </cell>
          <cell r="H1308" t="str">
            <v/>
          </cell>
          <cell r="Q1308" t="str">
            <v/>
          </cell>
        </row>
        <row r="1309">
          <cell r="A1309" t="str">
            <v>이병준</v>
          </cell>
          <cell r="B1309" t="str">
            <v>경기도 화성시 10용사로286,1014동1302호</v>
          </cell>
          <cell r="C1309" t="str">
            <v>650717-1101529</v>
          </cell>
          <cell r="D1309" t="str">
            <v>010-5611-9753</v>
          </cell>
          <cell r="E1309">
            <v>230000</v>
          </cell>
          <cell r="F1309" t="str">
            <v>남</v>
          </cell>
          <cell r="G1309">
            <v>62</v>
          </cell>
          <cell r="H1309" t="str">
            <v>-</v>
          </cell>
          <cell r="J1309" t="str">
            <v xml:space="preserve">형틀 </v>
          </cell>
          <cell r="K1309" t="str">
            <v>해체</v>
          </cell>
          <cell r="L1309" t="str">
            <v>447-910559-43707</v>
          </cell>
          <cell r="M1309" t="str">
            <v>하나은행</v>
          </cell>
          <cell r="N1309" t="str">
            <v>이병준</v>
          </cell>
          <cell r="O1309">
            <v>41967</v>
          </cell>
          <cell r="R1309">
            <v>45960</v>
          </cell>
          <cell r="S1309">
            <v>45929</v>
          </cell>
          <cell r="T1309">
            <v>45929</v>
          </cell>
          <cell r="V1309" t="str">
            <v>형틀목공</v>
          </cell>
        </row>
        <row r="1310">
          <cell r="A1310" t="str">
            <v>강명진</v>
          </cell>
          <cell r="B1310" t="str">
            <v>경기 화성시 능등 1137 18/6 동타푸른마을 두산위브@926-1501</v>
          </cell>
          <cell r="C1310" t="str">
            <v>700620-2114249</v>
          </cell>
          <cell r="E1310">
            <v>230000</v>
          </cell>
          <cell r="F1310" t="str">
            <v>여</v>
          </cell>
          <cell r="G1310">
            <v>57</v>
          </cell>
          <cell r="H1310" t="str">
            <v>-</v>
          </cell>
          <cell r="J1310" t="str">
            <v xml:space="preserve">형틀 </v>
          </cell>
          <cell r="K1310" t="str">
            <v>해체</v>
          </cell>
          <cell r="L1310" t="str">
            <v>352-1172-3303-13</v>
          </cell>
          <cell r="M1310" t="str">
            <v>농협</v>
          </cell>
          <cell r="N1310" t="str">
            <v>강명진</v>
          </cell>
          <cell r="O1310">
            <v>44971</v>
          </cell>
          <cell r="S1310" t="str">
            <v>2023.05.31</v>
          </cell>
          <cell r="T1310">
            <v>45077</v>
          </cell>
          <cell r="V1310" t="str">
            <v>형틀목공</v>
          </cell>
          <cell r="W1310" t="str">
            <v>해체5월대체</v>
          </cell>
        </row>
        <row r="1311">
          <cell r="A1311" t="str">
            <v>이수연</v>
          </cell>
          <cell r="E1311">
            <v>230000</v>
          </cell>
          <cell r="F1311" t="str">
            <v/>
          </cell>
          <cell r="G1311" t="str">
            <v/>
          </cell>
          <cell r="H1311" t="str">
            <v/>
          </cell>
          <cell r="L1311" t="str">
            <v>1002-084990-706</v>
          </cell>
          <cell r="M1311" t="str">
            <v>우리</v>
          </cell>
          <cell r="N1311" t="str">
            <v>이수연</v>
          </cell>
          <cell r="Q1311" t="str">
            <v/>
          </cell>
        </row>
        <row r="1312">
          <cell r="A1312" t="str">
            <v>이승기</v>
          </cell>
          <cell r="E1312">
            <v>230000</v>
          </cell>
          <cell r="F1312" t="str">
            <v/>
          </cell>
          <cell r="G1312" t="str">
            <v/>
          </cell>
          <cell r="H1312" t="str">
            <v/>
          </cell>
          <cell r="L1312" t="str">
            <v>352-0631-1877-13</v>
          </cell>
          <cell r="M1312" t="str">
            <v>농협</v>
          </cell>
          <cell r="N1312" t="str">
            <v>이승기</v>
          </cell>
          <cell r="Q1312" t="str">
            <v/>
          </cell>
        </row>
        <row r="1313">
          <cell r="F1313" t="str">
            <v/>
          </cell>
          <cell r="G1313" t="str">
            <v/>
          </cell>
          <cell r="H1313" t="str">
            <v/>
          </cell>
          <cell r="Q1313" t="str">
            <v/>
          </cell>
        </row>
        <row r="1314">
          <cell r="F1314" t="str">
            <v/>
          </cell>
          <cell r="G1314" t="str">
            <v/>
          </cell>
          <cell r="H1314" t="str">
            <v/>
          </cell>
          <cell r="Q1314" t="str">
            <v/>
          </cell>
        </row>
        <row r="1315">
          <cell r="F1315" t="str">
            <v/>
          </cell>
          <cell r="G1315" t="str">
            <v/>
          </cell>
          <cell r="H1315" t="str">
            <v/>
          </cell>
          <cell r="Q1315" t="str">
            <v/>
          </cell>
        </row>
        <row r="1316">
          <cell r="A1316" t="str">
            <v>배봉효</v>
          </cell>
          <cell r="B1316" t="str">
            <v>경기도 군포시 고산로 539번길 24</v>
          </cell>
          <cell r="C1316" t="str">
            <v>700924-1894711</v>
          </cell>
          <cell r="D1316" t="str">
            <v>010-8565-4227</v>
          </cell>
          <cell r="E1316">
            <v>230000</v>
          </cell>
          <cell r="F1316" t="str">
            <v>남</v>
          </cell>
          <cell r="G1316">
            <v>57</v>
          </cell>
          <cell r="H1316" t="str">
            <v>-</v>
          </cell>
          <cell r="J1316" t="str">
            <v xml:space="preserve">형틀 </v>
          </cell>
          <cell r="K1316" t="str">
            <v>해체</v>
          </cell>
          <cell r="L1316" t="str">
            <v>121011-56-0772-85</v>
          </cell>
          <cell r="M1316" t="str">
            <v>농협</v>
          </cell>
          <cell r="N1316" t="str">
            <v>배봉효</v>
          </cell>
          <cell r="O1316">
            <v>41722</v>
          </cell>
          <cell r="Q1316" t="str">
            <v/>
          </cell>
          <cell r="R1316">
            <v>45960</v>
          </cell>
          <cell r="S1316">
            <v>45960</v>
          </cell>
          <cell r="T1316">
            <v>45960</v>
          </cell>
          <cell r="V1316" t="str">
            <v>형틀목공</v>
          </cell>
        </row>
        <row r="1317">
          <cell r="A1317" t="str">
            <v>문사주</v>
          </cell>
          <cell r="B1317" t="str">
            <v>경기도 구리시 검배로93번길 35</v>
          </cell>
          <cell r="C1317" t="str">
            <v>640112-1389918</v>
          </cell>
          <cell r="D1317" t="str">
            <v>010-9223-6168</v>
          </cell>
          <cell r="E1317">
            <v>230000</v>
          </cell>
          <cell r="F1317" t="str">
            <v>남</v>
          </cell>
          <cell r="G1317">
            <v>63</v>
          </cell>
          <cell r="H1317" t="str">
            <v>-</v>
          </cell>
          <cell r="J1317" t="str">
            <v xml:space="preserve">형틀 </v>
          </cell>
          <cell r="K1317" t="str">
            <v>해체</v>
          </cell>
          <cell r="O1317">
            <v>42584</v>
          </cell>
          <cell r="Q1317" t="str">
            <v/>
          </cell>
          <cell r="R1317">
            <v>45960</v>
          </cell>
          <cell r="S1317">
            <v>45960</v>
          </cell>
          <cell r="T1317">
            <v>45960</v>
          </cell>
          <cell r="V1317" t="str">
            <v>형틀목공</v>
          </cell>
        </row>
        <row r="1318">
          <cell r="A1318" t="str">
            <v>김영근</v>
          </cell>
          <cell r="B1318" t="str">
            <v>충남 공주시 유구읍 수촌중앙길 41</v>
          </cell>
          <cell r="C1318" t="str">
            <v>611028-1453511</v>
          </cell>
          <cell r="D1318" t="str">
            <v>010-5423-2187</v>
          </cell>
          <cell r="E1318">
            <v>230000</v>
          </cell>
          <cell r="F1318" t="str">
            <v>남</v>
          </cell>
          <cell r="G1318">
            <v>66</v>
          </cell>
          <cell r="H1318" t="str">
            <v>-</v>
          </cell>
          <cell r="J1318" t="str">
            <v xml:space="preserve">형틀 </v>
          </cell>
          <cell r="K1318" t="str">
            <v>해체</v>
          </cell>
          <cell r="O1318">
            <v>42565</v>
          </cell>
          <cell r="Q1318" t="str">
            <v/>
          </cell>
          <cell r="R1318">
            <v>45960</v>
          </cell>
          <cell r="S1318">
            <v>45960</v>
          </cell>
          <cell r="T1318">
            <v>45960</v>
          </cell>
          <cell r="V1318" t="str">
            <v>형틀목공</v>
          </cell>
        </row>
        <row r="1319">
          <cell r="A1319" t="str">
            <v>김선우</v>
          </cell>
          <cell r="B1319" t="str">
            <v>서울 금천구 독산로50마길 13-9</v>
          </cell>
          <cell r="C1319" t="str">
            <v>760531-1522217</v>
          </cell>
          <cell r="D1319" t="str">
            <v>010-8383-8423</v>
          </cell>
          <cell r="E1319">
            <v>230000</v>
          </cell>
          <cell r="F1319" t="str">
            <v>남</v>
          </cell>
          <cell r="G1319">
            <v>51</v>
          </cell>
          <cell r="H1319" t="str">
            <v>-</v>
          </cell>
          <cell r="J1319" t="str">
            <v xml:space="preserve">형틀 </v>
          </cell>
          <cell r="K1319" t="str">
            <v>해체</v>
          </cell>
          <cell r="O1319">
            <v>42996</v>
          </cell>
          <cell r="Q1319" t="str">
            <v/>
          </cell>
          <cell r="R1319">
            <v>45960</v>
          </cell>
          <cell r="S1319">
            <v>45960</v>
          </cell>
          <cell r="T1319">
            <v>45960</v>
          </cell>
          <cell r="V1319" t="str">
            <v>형틀목공</v>
          </cell>
        </row>
        <row r="1320">
          <cell r="A1320" t="str">
            <v>공태영</v>
          </cell>
          <cell r="B1320" t="str">
            <v>경기도 성남시 수정구 수정로 153번길</v>
          </cell>
          <cell r="C1320" t="str">
            <v>651003-1350915</v>
          </cell>
          <cell r="D1320" t="str">
            <v>010-4564-9920</v>
          </cell>
          <cell r="E1320">
            <v>230000</v>
          </cell>
          <cell r="F1320" t="str">
            <v>남</v>
          </cell>
          <cell r="G1320">
            <v>62</v>
          </cell>
          <cell r="H1320" t="str">
            <v>-</v>
          </cell>
          <cell r="J1320" t="str">
            <v xml:space="preserve">형틀 </v>
          </cell>
          <cell r="K1320" t="str">
            <v>해체</v>
          </cell>
          <cell r="O1320">
            <v>41430</v>
          </cell>
          <cell r="Q1320" t="str">
            <v/>
          </cell>
          <cell r="R1320">
            <v>45960</v>
          </cell>
          <cell r="S1320">
            <v>45960</v>
          </cell>
          <cell r="T1320" t="str">
            <v>2025-1030</v>
          </cell>
          <cell r="V1320" t="str">
            <v>형틀목공</v>
          </cell>
        </row>
        <row r="1321">
          <cell r="A1321" t="str">
            <v>홍성국</v>
          </cell>
          <cell r="B1321" t="str">
            <v>서울 관악구 시흥대로160길 12</v>
          </cell>
          <cell r="C1321" t="str">
            <v>780216-1245612</v>
          </cell>
          <cell r="D1321" t="str">
            <v>010-8411-7811</v>
          </cell>
          <cell r="E1321">
            <v>230000</v>
          </cell>
          <cell r="F1321" t="str">
            <v>남</v>
          </cell>
          <cell r="G1321">
            <v>49</v>
          </cell>
          <cell r="H1321" t="str">
            <v>-</v>
          </cell>
          <cell r="J1321" t="str">
            <v xml:space="preserve">형틀 </v>
          </cell>
          <cell r="K1321" t="str">
            <v>해체</v>
          </cell>
          <cell r="O1321">
            <v>42809</v>
          </cell>
          <cell r="Q1321" t="str">
            <v/>
          </cell>
          <cell r="R1321">
            <v>45999</v>
          </cell>
          <cell r="S1321">
            <v>45999</v>
          </cell>
          <cell r="T1321">
            <v>45999</v>
          </cell>
          <cell r="V1321" t="str">
            <v>형틀목공</v>
          </cell>
        </row>
        <row r="1322">
          <cell r="A1322" t="str">
            <v>장기호</v>
          </cell>
          <cell r="B1322" t="str">
            <v>경북 영양군 영양읍 영양창수로 958-25</v>
          </cell>
          <cell r="C1322" t="str">
            <v>831225-1779016</v>
          </cell>
          <cell r="D1322" t="str">
            <v>010-2207-2104</v>
          </cell>
          <cell r="E1322">
            <v>230000</v>
          </cell>
          <cell r="F1322" t="str">
            <v>남</v>
          </cell>
          <cell r="G1322">
            <v>44</v>
          </cell>
          <cell r="H1322" t="str">
            <v>-</v>
          </cell>
          <cell r="J1322" t="str">
            <v xml:space="preserve">형틀 </v>
          </cell>
          <cell r="K1322" t="str">
            <v>해체</v>
          </cell>
          <cell r="O1322">
            <v>41569</v>
          </cell>
          <cell r="Q1322" t="str">
            <v/>
          </cell>
          <cell r="R1322">
            <v>45995</v>
          </cell>
          <cell r="S1322">
            <v>45995</v>
          </cell>
          <cell r="T1322">
            <v>45995</v>
          </cell>
          <cell r="V1322" t="str">
            <v>형틀목공</v>
          </cell>
        </row>
        <row r="1323">
          <cell r="A1323" t="str">
            <v>허영동</v>
          </cell>
          <cell r="B1323" t="str">
            <v>강원 원주시 개운로 30, 101-403</v>
          </cell>
          <cell r="C1323" t="str">
            <v>710310-1330836</v>
          </cell>
          <cell r="D1323" t="str">
            <v>010-9967-5453</v>
          </cell>
          <cell r="E1323">
            <v>230000</v>
          </cell>
          <cell r="F1323" t="str">
            <v>남</v>
          </cell>
          <cell r="G1323">
            <v>56</v>
          </cell>
          <cell r="H1323" t="str">
            <v>-</v>
          </cell>
          <cell r="J1323" t="str">
            <v xml:space="preserve">형틀 </v>
          </cell>
          <cell r="K1323" t="str">
            <v>해체</v>
          </cell>
          <cell r="O1323">
            <v>41862</v>
          </cell>
          <cell r="Q1323" t="str">
            <v/>
          </cell>
          <cell r="R1323">
            <v>45995</v>
          </cell>
          <cell r="S1323">
            <v>45995</v>
          </cell>
          <cell r="T1323">
            <v>45995</v>
          </cell>
          <cell r="V1323" t="str">
            <v>형틀목공</v>
          </cell>
        </row>
        <row r="1324">
          <cell r="A1324" t="str">
            <v>김동현</v>
          </cell>
          <cell r="B1324" t="str">
            <v>강원 원주 남원로469-29</v>
          </cell>
          <cell r="C1324" t="str">
            <v>921124-1267817</v>
          </cell>
          <cell r="D1324" t="str">
            <v>010-3066-5882</v>
          </cell>
          <cell r="E1324">
            <v>230000</v>
          </cell>
          <cell r="F1324" t="str">
            <v>남</v>
          </cell>
          <cell r="G1324">
            <v>35</v>
          </cell>
          <cell r="H1324" t="str">
            <v>-</v>
          </cell>
          <cell r="J1324" t="str">
            <v xml:space="preserve">형틀 </v>
          </cell>
          <cell r="K1324" t="str">
            <v>해체</v>
          </cell>
          <cell r="O1324">
            <v>42718</v>
          </cell>
          <cell r="R1324">
            <v>45996</v>
          </cell>
          <cell r="S1324">
            <v>45996</v>
          </cell>
          <cell r="T1324">
            <v>45996</v>
          </cell>
          <cell r="V1324" t="str">
            <v>형틀목공</v>
          </cell>
        </row>
        <row r="1325">
          <cell r="A1325" t="str">
            <v>신영민</v>
          </cell>
          <cell r="B1325" t="str">
            <v>인천 남동구 용천로번길 32-1</v>
          </cell>
          <cell r="C1325" t="str">
            <v>800124-1149466</v>
          </cell>
          <cell r="D1325" t="str">
            <v>010-2786-6454</v>
          </cell>
          <cell r="E1325">
            <v>230000</v>
          </cell>
          <cell r="F1325" t="str">
            <v>남</v>
          </cell>
          <cell r="G1325">
            <v>47</v>
          </cell>
          <cell r="H1325" t="str">
            <v>-</v>
          </cell>
          <cell r="J1325" t="str">
            <v xml:space="preserve">형틀 </v>
          </cell>
          <cell r="K1325" t="str">
            <v>해체</v>
          </cell>
          <cell r="O1325">
            <v>41159</v>
          </cell>
          <cell r="R1325">
            <v>45996</v>
          </cell>
          <cell r="S1325">
            <v>45996</v>
          </cell>
          <cell r="T1325">
            <v>45996</v>
          </cell>
          <cell r="V1325" t="str">
            <v>형틀목공</v>
          </cell>
        </row>
        <row r="1326">
          <cell r="A1326" t="str">
            <v>나욱일</v>
          </cell>
          <cell r="B1326" t="str">
            <v>강원 원주 남산로 97</v>
          </cell>
          <cell r="C1326" t="str">
            <v>811220-1395216</v>
          </cell>
          <cell r="D1326" t="str">
            <v>010-4136-3100</v>
          </cell>
          <cell r="E1326">
            <v>230000</v>
          </cell>
          <cell r="F1326" t="str">
            <v>남</v>
          </cell>
          <cell r="G1326">
            <v>46</v>
          </cell>
          <cell r="H1326" t="str">
            <v>-</v>
          </cell>
          <cell r="J1326" t="str">
            <v xml:space="preserve">형틀 </v>
          </cell>
          <cell r="K1326" t="str">
            <v>해체</v>
          </cell>
          <cell r="O1326">
            <v>41649</v>
          </cell>
          <cell r="R1326">
            <v>45996</v>
          </cell>
          <cell r="S1326">
            <v>45996</v>
          </cell>
          <cell r="T1326">
            <v>45996</v>
          </cell>
          <cell r="V1326" t="str">
            <v>형틀목공</v>
          </cell>
        </row>
        <row r="1327">
          <cell r="A1327" t="str">
            <v>남윤오</v>
          </cell>
          <cell r="B1327" t="str">
            <v>강원 원주 혁신로 350, 1006-1002</v>
          </cell>
          <cell r="C1327" t="str">
            <v>790121-1398914</v>
          </cell>
          <cell r="D1327" t="str">
            <v>010-7495-9075</v>
          </cell>
          <cell r="E1327">
            <v>230000</v>
          </cell>
          <cell r="F1327" t="str">
            <v>남</v>
          </cell>
          <cell r="G1327">
            <v>48</v>
          </cell>
          <cell r="H1327" t="str">
            <v>-</v>
          </cell>
          <cell r="J1327" t="str">
            <v xml:space="preserve">형틀 </v>
          </cell>
          <cell r="K1327" t="str">
            <v>해체</v>
          </cell>
          <cell r="O1327">
            <v>42059</v>
          </cell>
          <cell r="Q1327" t="str">
            <v/>
          </cell>
          <cell r="R1327">
            <v>46025</v>
          </cell>
          <cell r="S1327">
            <v>46025</v>
          </cell>
          <cell r="T1327">
            <v>46025</v>
          </cell>
          <cell r="V1327" t="str">
            <v>형틀목공</v>
          </cell>
        </row>
        <row r="1328">
          <cell r="A1328" t="str">
            <v>한국성</v>
          </cell>
          <cell r="B1328" t="str">
            <v>세종 도움1로 55, 901-1604</v>
          </cell>
          <cell r="C1328" t="str">
            <v>651006-1100217</v>
          </cell>
          <cell r="D1328" t="str">
            <v>010-6804-1861</v>
          </cell>
          <cell r="E1328">
            <v>230000</v>
          </cell>
          <cell r="F1328" t="str">
            <v>남</v>
          </cell>
          <cell r="G1328">
            <v>62</v>
          </cell>
          <cell r="H1328" t="str">
            <v>-</v>
          </cell>
          <cell r="J1328" t="str">
            <v xml:space="preserve">형틀 </v>
          </cell>
          <cell r="K1328" t="str">
            <v>해체</v>
          </cell>
          <cell r="O1328">
            <v>45860</v>
          </cell>
          <cell r="R1328">
            <v>46034</v>
          </cell>
          <cell r="S1328">
            <v>46034</v>
          </cell>
          <cell r="T1328">
            <v>46034</v>
          </cell>
          <cell r="V1328" t="str">
            <v>형틀목공</v>
          </cell>
        </row>
        <row r="1329">
          <cell r="A1329" t="str">
            <v>유재희</v>
          </cell>
          <cell r="B1329" t="str">
            <v>강원 원주시 이화1길 51-3</v>
          </cell>
          <cell r="C1329" t="str">
            <v>640615-1324312</v>
          </cell>
          <cell r="D1329" t="str">
            <v>010-9343-1136</v>
          </cell>
          <cell r="E1329">
            <v>230000</v>
          </cell>
          <cell r="F1329" t="str">
            <v>남</v>
          </cell>
          <cell r="G1329">
            <v>63</v>
          </cell>
          <cell r="H1329" t="str">
            <v>-</v>
          </cell>
          <cell r="J1329" t="str">
            <v xml:space="preserve">형틀 </v>
          </cell>
          <cell r="K1329" t="str">
            <v>해체</v>
          </cell>
          <cell r="O1329">
            <v>42069</v>
          </cell>
          <cell r="R1329">
            <v>46034</v>
          </cell>
          <cell r="S1329">
            <v>46034</v>
          </cell>
          <cell r="T1329">
            <v>46034</v>
          </cell>
          <cell r="V1329" t="str">
            <v>형틀목공</v>
          </cell>
        </row>
        <row r="1330">
          <cell r="A1330" t="str">
            <v>이동화</v>
          </cell>
          <cell r="B1330" t="str">
            <v>강원 원주 행구로 102, 101-1002</v>
          </cell>
          <cell r="C1330" t="str">
            <v>740126-1095919</v>
          </cell>
          <cell r="D1330" t="str">
            <v>010-2882-0126</v>
          </cell>
          <cell r="E1330">
            <v>230000</v>
          </cell>
          <cell r="F1330" t="str">
            <v>남</v>
          </cell>
          <cell r="G1330">
            <v>53</v>
          </cell>
          <cell r="H1330" t="str">
            <v>-</v>
          </cell>
          <cell r="J1330" t="str">
            <v xml:space="preserve">형틀 </v>
          </cell>
          <cell r="K1330" t="str">
            <v>해체</v>
          </cell>
          <cell r="O1330">
            <v>43208</v>
          </cell>
          <cell r="R1330">
            <v>46034</v>
          </cell>
          <cell r="S1330">
            <v>46034</v>
          </cell>
          <cell r="T1330">
            <v>46034</v>
          </cell>
          <cell r="V1330" t="str">
            <v>형틀목공</v>
          </cell>
        </row>
        <row r="1331">
          <cell r="A1331" t="str">
            <v>이일봉</v>
          </cell>
          <cell r="B1331" t="str">
            <v>강원 원주 예술관길 32, 202-1105</v>
          </cell>
          <cell r="C1331" t="str">
            <v>720516-1328111</v>
          </cell>
          <cell r="D1331" t="str">
            <v>010-3694-9334</v>
          </cell>
          <cell r="E1331">
            <v>230000</v>
          </cell>
          <cell r="F1331" t="str">
            <v>남</v>
          </cell>
          <cell r="G1331">
            <v>55</v>
          </cell>
          <cell r="H1331" t="str">
            <v>-</v>
          </cell>
          <cell r="J1331" t="str">
            <v xml:space="preserve">형틀 </v>
          </cell>
          <cell r="K1331" t="str">
            <v>해체</v>
          </cell>
          <cell r="O1331">
            <v>42877</v>
          </cell>
          <cell r="R1331">
            <v>46034</v>
          </cell>
          <cell r="S1331">
            <v>46034</v>
          </cell>
          <cell r="T1331">
            <v>46034</v>
          </cell>
          <cell r="V1331" t="str">
            <v>형틀목공</v>
          </cell>
        </row>
        <row r="1332">
          <cell r="A1332" t="str">
            <v>최영순</v>
          </cell>
          <cell r="B1332" t="str">
            <v>강원 원주 천매봉길 20-4</v>
          </cell>
          <cell r="C1332" t="str">
            <v>760928-1345919</v>
          </cell>
          <cell r="D1332" t="str">
            <v>010-2425-8360</v>
          </cell>
          <cell r="E1332">
            <v>230000</v>
          </cell>
          <cell r="F1332" t="str">
            <v>남</v>
          </cell>
          <cell r="G1332">
            <v>51</v>
          </cell>
          <cell r="H1332" t="str">
            <v>-</v>
          </cell>
          <cell r="J1332" t="str">
            <v xml:space="preserve">형틀 </v>
          </cell>
          <cell r="K1332" t="str">
            <v>해체</v>
          </cell>
          <cell r="O1332">
            <v>42254</v>
          </cell>
          <cell r="R1332">
            <v>46034</v>
          </cell>
          <cell r="S1332">
            <v>46034</v>
          </cell>
          <cell r="T1332">
            <v>46034</v>
          </cell>
          <cell r="V1332" t="str">
            <v>형틀목공</v>
          </cell>
        </row>
        <row r="1333">
          <cell r="A1333" t="str">
            <v>최준모</v>
          </cell>
          <cell r="B1333" t="str">
            <v>경기 안양 만완구 경수대로1290번 106-904</v>
          </cell>
          <cell r="C1333" t="str">
            <v>660209-1178332</v>
          </cell>
          <cell r="D1333" t="str">
            <v>010-9361-5663</v>
          </cell>
          <cell r="E1333">
            <v>230000</v>
          </cell>
          <cell r="F1333" t="str">
            <v>남</v>
          </cell>
          <cell r="G1333">
            <v>61</v>
          </cell>
          <cell r="H1333" t="str">
            <v>-</v>
          </cell>
          <cell r="J1333" t="str">
            <v xml:space="preserve">형틀 </v>
          </cell>
          <cell r="K1333" t="str">
            <v>해체</v>
          </cell>
          <cell r="O1333">
            <v>45453</v>
          </cell>
          <cell r="R1333">
            <v>46121</v>
          </cell>
          <cell r="S1333">
            <v>46121</v>
          </cell>
          <cell r="T1333">
            <v>46121</v>
          </cell>
          <cell r="V1333" t="str">
            <v>형틀목공</v>
          </cell>
        </row>
        <row r="1334">
          <cell r="A1334" t="str">
            <v>김광성</v>
          </cell>
          <cell r="B1334" t="str">
            <v>서울 금천구 시흥대로 153길 75, 202호</v>
          </cell>
          <cell r="C1334" t="str">
            <v>701111-5102793</v>
          </cell>
          <cell r="D1334" t="str">
            <v>010-4788-5388</v>
          </cell>
          <cell r="E1334">
            <v>230000</v>
          </cell>
          <cell r="F1334" t="str">
            <v>남</v>
          </cell>
          <cell r="G1334">
            <v>57</v>
          </cell>
          <cell r="H1334" t="str">
            <v>외국인</v>
          </cell>
          <cell r="I1334" t="str">
            <v>JIN GUANGSHENG</v>
          </cell>
          <cell r="J1334" t="str">
            <v xml:space="preserve">형틀 </v>
          </cell>
          <cell r="K1334" t="str">
            <v>해체</v>
          </cell>
          <cell r="O1334">
            <v>42451</v>
          </cell>
          <cell r="P1334" t="str">
            <v>재외동포F4</v>
          </cell>
          <cell r="Q1334">
            <v>47102</v>
          </cell>
          <cell r="R1334">
            <v>46153</v>
          </cell>
          <cell r="S1334">
            <v>46153</v>
          </cell>
          <cell r="T1334">
            <v>46153</v>
          </cell>
          <cell r="V1334" t="str">
            <v>형틀목공</v>
          </cell>
          <cell r="W1334" t="str">
            <v>중국</v>
          </cell>
        </row>
        <row r="1335">
          <cell r="A1335" t="str">
            <v>김동군</v>
          </cell>
          <cell r="B1335" t="str">
            <v>금천구 시흥대로 149가길 10-5, 지층102호</v>
          </cell>
          <cell r="C1335" t="str">
            <v>710225-5101493</v>
          </cell>
          <cell r="D1335" t="str">
            <v>010-2275-0789</v>
          </cell>
          <cell r="E1335">
            <v>230000</v>
          </cell>
          <cell r="F1335" t="str">
            <v>남</v>
          </cell>
          <cell r="G1335">
            <v>56</v>
          </cell>
          <cell r="H1335" t="str">
            <v>외국인</v>
          </cell>
          <cell r="I1335" t="str">
            <v>JIN DONGJUN</v>
          </cell>
          <cell r="J1335" t="str">
            <v xml:space="preserve">형틀 </v>
          </cell>
          <cell r="K1335" t="str">
            <v>해체</v>
          </cell>
          <cell r="O1335">
            <v>43077</v>
          </cell>
          <cell r="P1335" t="str">
            <v>영주F5</v>
          </cell>
          <cell r="Q1335">
            <v>48969</v>
          </cell>
          <cell r="R1335">
            <v>46153</v>
          </cell>
          <cell r="S1335">
            <v>46153</v>
          </cell>
          <cell r="T1335">
            <v>46153</v>
          </cell>
          <cell r="V1335" t="str">
            <v>형틀목공</v>
          </cell>
          <cell r="W1335" t="str">
            <v>중국</v>
          </cell>
        </row>
        <row r="1336">
          <cell r="A1336" t="str">
            <v>김병철</v>
          </cell>
          <cell r="B1336" t="str">
            <v>서울 금천구 독산로 3길 24-3</v>
          </cell>
          <cell r="C1336" t="str">
            <v>711205-1657721</v>
          </cell>
          <cell r="D1336" t="str">
            <v>010-3276-9759</v>
          </cell>
          <cell r="E1336">
            <v>230000</v>
          </cell>
          <cell r="F1336" t="str">
            <v>남</v>
          </cell>
          <cell r="G1336">
            <v>56</v>
          </cell>
          <cell r="H1336" t="str">
            <v>-</v>
          </cell>
          <cell r="J1336" t="str">
            <v xml:space="preserve">형틀 </v>
          </cell>
          <cell r="K1336" t="str">
            <v>해체</v>
          </cell>
          <cell r="O1336">
            <v>42969</v>
          </cell>
          <cell r="R1336">
            <v>46153</v>
          </cell>
          <cell r="S1336">
            <v>46153</v>
          </cell>
          <cell r="T1336">
            <v>46153</v>
          </cell>
          <cell r="V1336" t="str">
            <v>형틀목공</v>
          </cell>
        </row>
        <row r="1337">
          <cell r="A1337" t="str">
            <v>이광경</v>
          </cell>
          <cell r="B1337" t="str">
            <v>서울 금천구 독산로39RLF 21-2 이층101호</v>
          </cell>
          <cell r="C1337" t="str">
            <v>710525-5260599</v>
          </cell>
          <cell r="D1337" t="str">
            <v>010-9240-1847</v>
          </cell>
          <cell r="E1337">
            <v>230000</v>
          </cell>
          <cell r="F1337" t="str">
            <v>남</v>
          </cell>
          <cell r="G1337">
            <v>56</v>
          </cell>
          <cell r="H1337" t="str">
            <v>외국인</v>
          </cell>
          <cell r="I1337" t="str">
            <v>LI GUANGJING</v>
          </cell>
          <cell r="J1337" t="str">
            <v xml:space="preserve">형틀 </v>
          </cell>
          <cell r="K1337" t="str">
            <v>해체</v>
          </cell>
          <cell r="O1337">
            <v>45145</v>
          </cell>
          <cell r="P1337" t="str">
            <v>재외동포F4</v>
          </cell>
          <cell r="Q1337">
            <v>47190</v>
          </cell>
          <cell r="R1337">
            <v>46153</v>
          </cell>
          <cell r="S1337">
            <v>46153</v>
          </cell>
          <cell r="T1337">
            <v>46153</v>
          </cell>
          <cell r="V1337" t="str">
            <v>형틀목공</v>
          </cell>
          <cell r="W1337" t="str">
            <v>중국</v>
          </cell>
        </row>
        <row r="1338">
          <cell r="F1338" t="str">
            <v/>
          </cell>
          <cell r="G1338" t="str">
            <v/>
          </cell>
          <cell r="H1338" t="str">
            <v/>
          </cell>
          <cell r="Q1338" t="str">
            <v/>
          </cell>
        </row>
        <row r="1339">
          <cell r="F1339" t="str">
            <v/>
          </cell>
          <cell r="G1339" t="str">
            <v/>
          </cell>
          <cell r="H1339" t="str">
            <v/>
          </cell>
          <cell r="Q1339" t="str">
            <v/>
          </cell>
        </row>
        <row r="1340">
          <cell r="F1340" t="str">
            <v/>
          </cell>
          <cell r="G1340" t="str">
            <v/>
          </cell>
          <cell r="H1340" t="str">
            <v/>
          </cell>
          <cell r="Q1340" t="str">
            <v/>
          </cell>
        </row>
        <row r="1341">
          <cell r="F1341" t="str">
            <v/>
          </cell>
          <cell r="G1341" t="str">
            <v/>
          </cell>
          <cell r="H1341" t="str">
            <v/>
          </cell>
          <cell r="Q1341" t="str">
            <v/>
          </cell>
        </row>
        <row r="1342">
          <cell r="A1342" t="str">
            <v>정리</v>
          </cell>
          <cell r="F1342" t="str">
            <v/>
          </cell>
          <cell r="G1342" t="str">
            <v/>
          </cell>
          <cell r="H1342" t="str">
            <v/>
          </cell>
          <cell r="Q1342" t="str">
            <v/>
          </cell>
        </row>
        <row r="1343">
          <cell r="A1343" t="str">
            <v>영서인력</v>
          </cell>
          <cell r="F1343" t="str">
            <v/>
          </cell>
          <cell r="G1343" t="str">
            <v/>
          </cell>
          <cell r="H1343" t="str">
            <v/>
          </cell>
          <cell r="Q1343" t="str">
            <v/>
          </cell>
        </row>
        <row r="1344">
          <cell r="A1344" t="str">
            <v>엄대진</v>
          </cell>
          <cell r="B1344" t="str">
            <v>원주시 옛시청길50</v>
          </cell>
          <cell r="C1344" t="str">
            <v>760517-1774929</v>
          </cell>
          <cell r="D1344" t="str">
            <v>010-7109-7497</v>
          </cell>
          <cell r="E1344">
            <v>190000</v>
          </cell>
          <cell r="F1344" t="str">
            <v>남</v>
          </cell>
          <cell r="G1344">
            <v>51</v>
          </cell>
          <cell r="H1344" t="str">
            <v>-</v>
          </cell>
          <cell r="J1344" t="str">
            <v>용역</v>
          </cell>
          <cell r="K1344" t="str">
            <v>정리</v>
          </cell>
          <cell r="O1344">
            <v>41341</v>
          </cell>
          <cell r="Q1344" t="str">
            <v/>
          </cell>
          <cell r="R1344">
            <v>45908</v>
          </cell>
          <cell r="S1344">
            <v>45908</v>
          </cell>
          <cell r="T1344">
            <v>45908</v>
          </cell>
          <cell r="V1344" t="str">
            <v>형틀목공</v>
          </cell>
        </row>
        <row r="1345">
          <cell r="A1345" t="str">
            <v>김권일</v>
          </cell>
          <cell r="B1345" t="str">
            <v>서울시 관악구 봉천동900-66,B101</v>
          </cell>
          <cell r="C1345" t="str">
            <v>780708-1268514</v>
          </cell>
          <cell r="D1345" t="str">
            <v>010-8689-7678</v>
          </cell>
          <cell r="E1345">
            <v>160000</v>
          </cell>
          <cell r="F1345" t="str">
            <v>남</v>
          </cell>
          <cell r="G1345">
            <v>49</v>
          </cell>
          <cell r="H1345" t="str">
            <v>-</v>
          </cell>
          <cell r="J1345" t="str">
            <v>용역</v>
          </cell>
          <cell r="K1345" t="str">
            <v>정리</v>
          </cell>
          <cell r="O1345">
            <v>41690</v>
          </cell>
          <cell r="Q1345" t="str">
            <v/>
          </cell>
          <cell r="S1345">
            <v>45933</v>
          </cell>
          <cell r="T1345">
            <v>45933</v>
          </cell>
          <cell r="V1345" t="str">
            <v>형틀목공</v>
          </cell>
        </row>
        <row r="1346">
          <cell r="A1346" t="str">
            <v>박정규</v>
          </cell>
          <cell r="B1346" t="str">
            <v>강원도 원주시 평원초교길32-3</v>
          </cell>
          <cell r="C1346" t="str">
            <v>000728-3244711</v>
          </cell>
          <cell r="D1346" t="str">
            <v>010-3877-5091</v>
          </cell>
          <cell r="E1346">
            <v>160000</v>
          </cell>
          <cell r="F1346" t="str">
            <v>남</v>
          </cell>
          <cell r="G1346">
            <v>27</v>
          </cell>
          <cell r="H1346" t="str">
            <v>-</v>
          </cell>
          <cell r="J1346" t="str">
            <v>용역</v>
          </cell>
          <cell r="K1346" t="str">
            <v>정리</v>
          </cell>
          <cell r="O1346">
            <v>44370</v>
          </cell>
          <cell r="Q1346" t="str">
            <v/>
          </cell>
          <cell r="R1346">
            <v>45961</v>
          </cell>
          <cell r="S1346">
            <v>45961</v>
          </cell>
          <cell r="T1346">
            <v>45961</v>
          </cell>
          <cell r="V1346" t="str">
            <v>보통인부</v>
          </cell>
        </row>
        <row r="1347">
          <cell r="A1347" t="str">
            <v>강영월</v>
          </cell>
          <cell r="B1347" t="str">
            <v>서울 관악구 봉천동 1527-35</v>
          </cell>
          <cell r="C1347" t="str">
            <v>690502-2070114</v>
          </cell>
          <cell r="D1347" t="str">
            <v>010-4017-1158</v>
          </cell>
          <cell r="E1347">
            <v>170000</v>
          </cell>
          <cell r="F1347" t="str">
            <v>여</v>
          </cell>
          <cell r="G1347">
            <v>58</v>
          </cell>
          <cell r="H1347" t="str">
            <v>-</v>
          </cell>
          <cell r="J1347" t="str">
            <v>용역</v>
          </cell>
          <cell r="K1347" t="str">
            <v>정리</v>
          </cell>
          <cell r="L1347" t="str">
            <v>201-301-0410-3143</v>
          </cell>
          <cell r="M1347" t="str">
            <v>국민은행</v>
          </cell>
          <cell r="N1347" t="str">
            <v>강영월</v>
          </cell>
          <cell r="O1347">
            <v>45964</v>
          </cell>
          <cell r="R1347">
            <v>45964</v>
          </cell>
          <cell r="S1347">
            <v>45964</v>
          </cell>
          <cell r="T1347">
            <v>45964</v>
          </cell>
          <cell r="V1347" t="str">
            <v>보통인부</v>
          </cell>
        </row>
        <row r="1348">
          <cell r="A1348" t="str">
            <v>남동우</v>
          </cell>
          <cell r="B1348" t="str">
            <v>원주 남원로 442-31</v>
          </cell>
          <cell r="C1348" t="str">
            <v>881201-1328125</v>
          </cell>
          <cell r="D1348" t="str">
            <v>010-4059-3100</v>
          </cell>
          <cell r="E1348">
            <v>150000</v>
          </cell>
          <cell r="F1348" t="str">
            <v>남</v>
          </cell>
          <cell r="G1348">
            <v>39</v>
          </cell>
          <cell r="H1348" t="str">
            <v>-</v>
          </cell>
          <cell r="J1348" t="str">
            <v>용역</v>
          </cell>
          <cell r="K1348" t="str">
            <v>정리</v>
          </cell>
          <cell r="O1348">
            <v>42622</v>
          </cell>
          <cell r="R1348">
            <v>45990</v>
          </cell>
          <cell r="S1348">
            <v>45990</v>
          </cell>
          <cell r="V1348" t="str">
            <v>형틀목공</v>
          </cell>
        </row>
        <row r="1349">
          <cell r="F1349" t="str">
            <v/>
          </cell>
          <cell r="G1349" t="str">
            <v/>
          </cell>
          <cell r="H1349" t="str">
            <v/>
          </cell>
          <cell r="Q1349" t="str">
            <v/>
          </cell>
        </row>
        <row r="1350">
          <cell r="A1350" t="str">
            <v>샤브켓</v>
          </cell>
          <cell r="B1350" t="str">
            <v>원주시 옛시청길50</v>
          </cell>
          <cell r="C1350" t="str">
            <v>690712-5</v>
          </cell>
          <cell r="D1350" t="str">
            <v>010-4401-0638</v>
          </cell>
          <cell r="E1350">
            <v>160000</v>
          </cell>
          <cell r="F1350" t="str">
            <v>남</v>
          </cell>
          <cell r="G1350">
            <v>58</v>
          </cell>
          <cell r="H1350" t="str">
            <v>외국인</v>
          </cell>
          <cell r="I1350" t="str">
            <v>ABSEDOV SHAVKAT</v>
          </cell>
          <cell r="J1350" t="str">
            <v>용역</v>
          </cell>
          <cell r="K1350" t="str">
            <v>정리</v>
          </cell>
          <cell r="O1350">
            <v>45004</v>
          </cell>
          <cell r="Q1350" t="str">
            <v/>
          </cell>
          <cell r="R1350">
            <v>45908</v>
          </cell>
          <cell r="S1350">
            <v>45908</v>
          </cell>
          <cell r="T1350">
            <v>45908</v>
          </cell>
          <cell r="U1350" t="str">
            <v>N11378958</v>
          </cell>
          <cell r="V1350" t="str">
            <v>형틀목공</v>
          </cell>
          <cell r="W1350" t="str">
            <v>카자흐스탄</v>
          </cell>
        </row>
        <row r="1351">
          <cell r="A1351" t="str">
            <v>한센</v>
          </cell>
          <cell r="B1351" t="str">
            <v>원주시 옛시청길50</v>
          </cell>
          <cell r="C1351" t="str">
            <v>920409-5</v>
          </cell>
          <cell r="D1351" t="str">
            <v>010-9732-8799</v>
          </cell>
          <cell r="E1351">
            <v>160000</v>
          </cell>
          <cell r="F1351" t="str">
            <v>남</v>
          </cell>
          <cell r="G1351">
            <v>35</v>
          </cell>
          <cell r="H1351" t="str">
            <v>외국인</v>
          </cell>
          <cell r="I1351" t="str">
            <v>HANSEN LIAU</v>
          </cell>
          <cell r="J1351" t="str">
            <v>용역</v>
          </cell>
          <cell r="K1351" t="str">
            <v>정리</v>
          </cell>
          <cell r="O1351">
            <v>43511</v>
          </cell>
          <cell r="Q1351" t="str">
            <v/>
          </cell>
          <cell r="R1351">
            <v>45908</v>
          </cell>
          <cell r="S1351">
            <v>45908</v>
          </cell>
          <cell r="T1351">
            <v>45908</v>
          </cell>
          <cell r="U1351" t="str">
            <v>C5519545</v>
          </cell>
          <cell r="V1351" t="str">
            <v>형틀목공</v>
          </cell>
          <cell r="W1351" t="str">
            <v>인도네시아</v>
          </cell>
        </row>
        <row r="1352">
          <cell r="A1352" t="str">
            <v>빈지니</v>
          </cell>
          <cell r="B1352" t="str">
            <v>원주시 옛시청길50</v>
          </cell>
          <cell r="C1352" t="str">
            <v>020214-5</v>
          </cell>
          <cell r="D1352" t="str">
            <v>010-3438-1402</v>
          </cell>
          <cell r="E1352">
            <v>160000</v>
          </cell>
          <cell r="F1352" t="str">
            <v>남</v>
          </cell>
          <cell r="G1352">
            <v>25</v>
          </cell>
          <cell r="H1352" t="str">
            <v>외국인</v>
          </cell>
          <cell r="I1352" t="str">
            <v>MOHAMMAD AFFIQ BINZINI</v>
          </cell>
          <cell r="J1352" t="str">
            <v>용역</v>
          </cell>
          <cell r="K1352" t="str">
            <v>정리</v>
          </cell>
          <cell r="O1352">
            <v>44009</v>
          </cell>
          <cell r="Q1352" t="str">
            <v/>
          </cell>
          <cell r="R1352">
            <v>45908</v>
          </cell>
          <cell r="S1352">
            <v>45908</v>
          </cell>
          <cell r="T1352">
            <v>45908</v>
          </cell>
          <cell r="U1352" t="str">
            <v>H61359064</v>
          </cell>
          <cell r="V1352" t="str">
            <v>형틀목공</v>
          </cell>
          <cell r="W1352" t="str">
            <v>말레이시아</v>
          </cell>
        </row>
        <row r="1353">
          <cell r="A1353" t="str">
            <v>아따비</v>
          </cell>
          <cell r="B1353" t="str">
            <v>원주시 옛시청길50</v>
          </cell>
          <cell r="C1353" t="str">
            <v>721114-5</v>
          </cell>
          <cell r="D1353" t="str">
            <v>010-3490-1411</v>
          </cell>
          <cell r="E1353">
            <v>160000</v>
          </cell>
          <cell r="F1353" t="str">
            <v>남</v>
          </cell>
          <cell r="G1353">
            <v>55</v>
          </cell>
          <cell r="H1353" t="str">
            <v>외국인</v>
          </cell>
          <cell r="I1353" t="str">
            <v>MIHZADZHANOV ATABEK</v>
          </cell>
          <cell r="J1353" t="str">
            <v>용역</v>
          </cell>
          <cell r="K1353" t="str">
            <v>정리</v>
          </cell>
          <cell r="O1353">
            <v>44610</v>
          </cell>
          <cell r="Q1353" t="str">
            <v/>
          </cell>
          <cell r="R1353">
            <v>45908</v>
          </cell>
          <cell r="S1353">
            <v>45908</v>
          </cell>
          <cell r="T1353">
            <v>45908</v>
          </cell>
          <cell r="U1353">
            <v>754049354</v>
          </cell>
          <cell r="V1353" t="str">
            <v>형틀목공</v>
          </cell>
          <cell r="W1353" t="str">
            <v>러시아</v>
          </cell>
        </row>
        <row r="1354">
          <cell r="A1354" t="str">
            <v>레사트</v>
          </cell>
          <cell r="B1354" t="str">
            <v>원주시 옛시청길50</v>
          </cell>
          <cell r="C1354" t="str">
            <v>850828-5</v>
          </cell>
          <cell r="D1354" t="str">
            <v>010-8403-3841</v>
          </cell>
          <cell r="E1354">
            <v>160000</v>
          </cell>
          <cell r="F1354" t="str">
            <v>남</v>
          </cell>
          <cell r="G1354">
            <v>42</v>
          </cell>
          <cell r="H1354" t="str">
            <v>외국인</v>
          </cell>
          <cell r="I1354" t="str">
            <v>RUSTEMOGLU RESAT</v>
          </cell>
          <cell r="J1354" t="str">
            <v>용역</v>
          </cell>
          <cell r="K1354" t="str">
            <v>정리</v>
          </cell>
          <cell r="O1354">
            <v>45275</v>
          </cell>
          <cell r="Q1354" t="str">
            <v/>
          </cell>
          <cell r="R1354">
            <v>45915</v>
          </cell>
          <cell r="S1354">
            <v>45915</v>
          </cell>
          <cell r="T1354">
            <v>45915</v>
          </cell>
          <cell r="U1354" t="str">
            <v>U33122283</v>
          </cell>
          <cell r="V1354" t="str">
            <v>형틀목공</v>
          </cell>
          <cell r="W1354" t="str">
            <v>터키</v>
          </cell>
        </row>
        <row r="1355">
          <cell r="A1355" t="str">
            <v>다우리트</v>
          </cell>
          <cell r="B1355" t="str">
            <v>원주시 원일로 172번지</v>
          </cell>
          <cell r="C1355" t="str">
            <v>060506-5</v>
          </cell>
          <cell r="D1355" t="str">
            <v>010-7217-4551</v>
          </cell>
          <cell r="E1355">
            <v>160000</v>
          </cell>
          <cell r="F1355" t="str">
            <v>남</v>
          </cell>
          <cell r="G1355">
            <v>21</v>
          </cell>
          <cell r="H1355" t="str">
            <v>외국인</v>
          </cell>
          <cell r="I1355" t="str">
            <v>FARKHADOV DAVLATBEK</v>
          </cell>
          <cell r="J1355" t="str">
            <v>용역</v>
          </cell>
          <cell r="K1355" t="str">
            <v>정리</v>
          </cell>
          <cell r="O1355">
            <v>45427</v>
          </cell>
          <cell r="Q1355" t="str">
            <v/>
          </cell>
          <cell r="R1355">
            <v>45931</v>
          </cell>
          <cell r="S1355">
            <v>45931</v>
          </cell>
          <cell r="T1355">
            <v>45931</v>
          </cell>
          <cell r="U1355" t="str">
            <v>N14551712</v>
          </cell>
          <cell r="V1355" t="str">
            <v>형틀목공</v>
          </cell>
          <cell r="W1355" t="str">
            <v>카자흐스탄</v>
          </cell>
        </row>
        <row r="1356">
          <cell r="A1356" t="str">
            <v>이르판</v>
          </cell>
          <cell r="B1356" t="str">
            <v>원주시 원일로 172번지</v>
          </cell>
          <cell r="C1356" t="str">
            <v>021215-5</v>
          </cell>
          <cell r="D1356" t="str">
            <v>010-9897-2770</v>
          </cell>
          <cell r="E1356">
            <v>160000</v>
          </cell>
          <cell r="F1356" t="str">
            <v>남</v>
          </cell>
          <cell r="G1356">
            <v>25</v>
          </cell>
          <cell r="H1356" t="str">
            <v>외국인</v>
          </cell>
          <cell r="I1356" t="str">
            <v>IRFANSYAH</v>
          </cell>
          <cell r="J1356" t="str">
            <v>용역</v>
          </cell>
          <cell r="K1356" t="str">
            <v>정리</v>
          </cell>
          <cell r="O1356">
            <v>44907</v>
          </cell>
          <cell r="Q1356" t="str">
            <v/>
          </cell>
          <cell r="R1356">
            <v>45931</v>
          </cell>
          <cell r="S1356">
            <v>45931</v>
          </cell>
          <cell r="T1356">
            <v>45931</v>
          </cell>
          <cell r="U1356" t="str">
            <v>E3402578</v>
          </cell>
          <cell r="V1356" t="str">
            <v>형틀목공</v>
          </cell>
          <cell r="W1356" t="str">
            <v>인도네시아</v>
          </cell>
        </row>
        <row r="1357">
          <cell r="A1357" t="str">
            <v>동반티오</v>
          </cell>
          <cell r="B1357" t="str">
            <v>원주시 원일로 172번지</v>
          </cell>
          <cell r="C1357" t="str">
            <v>801001-5</v>
          </cell>
          <cell r="D1357" t="str">
            <v>010-2853-8010</v>
          </cell>
          <cell r="E1357">
            <v>160000</v>
          </cell>
          <cell r="F1357" t="str">
            <v>남</v>
          </cell>
          <cell r="G1357">
            <v>47</v>
          </cell>
          <cell r="H1357" t="str">
            <v>외국인</v>
          </cell>
          <cell r="I1357" t="str">
            <v>DONGVANTHAO</v>
          </cell>
          <cell r="J1357" t="str">
            <v>용역</v>
          </cell>
          <cell r="K1357" t="str">
            <v>정리</v>
          </cell>
          <cell r="O1357">
            <v>43686</v>
          </cell>
          <cell r="Q1357" t="str">
            <v/>
          </cell>
          <cell r="R1357">
            <v>45931</v>
          </cell>
          <cell r="S1357">
            <v>45931</v>
          </cell>
          <cell r="T1357">
            <v>45931</v>
          </cell>
          <cell r="U1357" t="str">
            <v>C5974413</v>
          </cell>
          <cell r="V1357" t="str">
            <v>형틀목공</v>
          </cell>
          <cell r="W1357" t="str">
            <v>베트남</v>
          </cell>
        </row>
        <row r="1358">
          <cell r="A1358" t="str">
            <v>꾸엣</v>
          </cell>
          <cell r="B1358" t="str">
            <v>원주시 원일로 172번지</v>
          </cell>
          <cell r="C1358" t="str">
            <v>650205-5</v>
          </cell>
          <cell r="D1358" t="str">
            <v>010-3438-4736</v>
          </cell>
          <cell r="E1358">
            <v>160000</v>
          </cell>
          <cell r="F1358" t="str">
            <v>남</v>
          </cell>
          <cell r="G1358">
            <v>62</v>
          </cell>
          <cell r="H1358" t="str">
            <v>외국인</v>
          </cell>
          <cell r="I1358" t="str">
            <v>DINH KHAC QUYET</v>
          </cell>
          <cell r="J1358" t="str">
            <v>용역</v>
          </cell>
          <cell r="K1358" t="str">
            <v>정리</v>
          </cell>
          <cell r="O1358">
            <v>44156</v>
          </cell>
          <cell r="Q1358" t="str">
            <v/>
          </cell>
          <cell r="R1358">
            <v>45933</v>
          </cell>
          <cell r="S1358">
            <v>45933</v>
          </cell>
          <cell r="T1358">
            <v>45933</v>
          </cell>
          <cell r="U1358" t="str">
            <v>C5238133</v>
          </cell>
          <cell r="V1358" t="str">
            <v>형틀목공</v>
          </cell>
          <cell r="W1358" t="str">
            <v>베트남</v>
          </cell>
        </row>
        <row r="1359">
          <cell r="A1359" t="str">
            <v>자와가르</v>
          </cell>
          <cell r="B1359" t="str">
            <v>원주시 원일로 172번지</v>
          </cell>
          <cell r="C1359" t="str">
            <v>010903-5</v>
          </cell>
          <cell r="D1359" t="str">
            <v>010-7477-9325</v>
          </cell>
          <cell r="E1359">
            <v>160000</v>
          </cell>
          <cell r="F1359" t="str">
            <v>남</v>
          </cell>
          <cell r="G1359">
            <v>26</v>
          </cell>
          <cell r="H1359" t="str">
            <v>외국인</v>
          </cell>
          <cell r="I1359" t="str">
            <v>SAIDALI ZHAVAKHIR</v>
          </cell>
          <cell r="J1359" t="str">
            <v>용역</v>
          </cell>
          <cell r="K1359" t="str">
            <v>정리</v>
          </cell>
          <cell r="O1359">
            <v>44918</v>
          </cell>
          <cell r="Q1359" t="str">
            <v/>
          </cell>
          <cell r="R1359">
            <v>45933</v>
          </cell>
          <cell r="S1359">
            <v>45933</v>
          </cell>
          <cell r="T1359">
            <v>45933</v>
          </cell>
          <cell r="U1359" t="str">
            <v>N14377691</v>
          </cell>
          <cell r="V1359" t="str">
            <v>형틀목공</v>
          </cell>
          <cell r="W1359" t="str">
            <v>카자흐스탄</v>
          </cell>
        </row>
        <row r="1360">
          <cell r="A1360" t="str">
            <v>왈리</v>
          </cell>
          <cell r="C1360" t="str">
            <v>690308-5</v>
          </cell>
          <cell r="D1360" t="str">
            <v>010-2198-1162</v>
          </cell>
          <cell r="E1360">
            <v>160000</v>
          </cell>
          <cell r="F1360" t="str">
            <v>남</v>
          </cell>
          <cell r="G1360">
            <v>58</v>
          </cell>
          <cell r="H1360" t="str">
            <v>외국인</v>
          </cell>
          <cell r="I1360" t="str">
            <v>TUGMAEV VALI</v>
          </cell>
          <cell r="J1360" t="str">
            <v>용역</v>
          </cell>
          <cell r="K1360" t="str">
            <v>정리</v>
          </cell>
          <cell r="O1360">
            <v>45516</v>
          </cell>
          <cell r="Q1360" t="str">
            <v/>
          </cell>
          <cell r="R1360">
            <v>45516</v>
          </cell>
          <cell r="S1360">
            <v>45957</v>
          </cell>
          <cell r="T1360">
            <v>45957</v>
          </cell>
          <cell r="U1360">
            <v>403594690</v>
          </cell>
          <cell r="V1360" t="str">
            <v>보통인부</v>
          </cell>
          <cell r="W1360" t="str">
            <v>타지키스탄</v>
          </cell>
        </row>
        <row r="1361">
          <cell r="A1361" t="str">
            <v>누르잔</v>
          </cell>
          <cell r="B1361" t="str">
            <v>원주시 원일로 172번지</v>
          </cell>
          <cell r="C1361" t="str">
            <v>980205-5</v>
          </cell>
          <cell r="D1361" t="str">
            <v>010-3641-7812</v>
          </cell>
          <cell r="E1361">
            <v>160000</v>
          </cell>
          <cell r="F1361" t="str">
            <v>남</v>
          </cell>
          <cell r="G1361">
            <v>29</v>
          </cell>
          <cell r="H1361" t="str">
            <v>외국인</v>
          </cell>
          <cell r="I1361" t="str">
            <v>MUKHMETOV NURZHAN</v>
          </cell>
          <cell r="J1361" t="str">
            <v>용역</v>
          </cell>
          <cell r="K1361" t="str">
            <v>정리</v>
          </cell>
          <cell r="O1361">
            <v>45115</v>
          </cell>
          <cell r="Q1361" t="str">
            <v/>
          </cell>
          <cell r="R1361">
            <v>45961</v>
          </cell>
          <cell r="S1361">
            <v>45961</v>
          </cell>
          <cell r="T1361">
            <v>45961</v>
          </cell>
          <cell r="U1361" t="str">
            <v>N14710385</v>
          </cell>
          <cell r="V1361" t="str">
            <v>보통인부</v>
          </cell>
          <cell r="W1361" t="str">
            <v>카자흐스탄</v>
          </cell>
        </row>
        <row r="1362">
          <cell r="A1362" t="str">
            <v>팀</v>
          </cell>
          <cell r="B1362" t="str">
            <v>원주시 원일로 172번지</v>
          </cell>
          <cell r="C1362" t="str">
            <v>950513-5</v>
          </cell>
          <cell r="D1362" t="str">
            <v>010-8175-9567</v>
          </cell>
          <cell r="E1362">
            <v>160000</v>
          </cell>
          <cell r="F1362" t="str">
            <v>남</v>
          </cell>
          <cell r="G1362">
            <v>32</v>
          </cell>
          <cell r="H1362" t="str">
            <v>외국인</v>
          </cell>
          <cell r="I1362" t="str">
            <v>SKORNIAKOV ANATOLII</v>
          </cell>
          <cell r="J1362" t="str">
            <v>용역</v>
          </cell>
          <cell r="K1362" t="str">
            <v>정리</v>
          </cell>
          <cell r="O1362">
            <v>44918</v>
          </cell>
          <cell r="Q1362" t="str">
            <v/>
          </cell>
          <cell r="R1362">
            <v>45961</v>
          </cell>
          <cell r="S1362">
            <v>45961</v>
          </cell>
          <cell r="T1362">
            <v>45961</v>
          </cell>
          <cell r="U1362">
            <v>661808172</v>
          </cell>
          <cell r="V1362" t="str">
            <v>보통인부</v>
          </cell>
          <cell r="W1362" t="str">
            <v>러시아</v>
          </cell>
        </row>
        <row r="1363">
          <cell r="A1363" t="str">
            <v>안드레이</v>
          </cell>
          <cell r="B1363" t="str">
            <v>원주시 원일로 172번지</v>
          </cell>
          <cell r="C1363" t="str">
            <v>740129-5</v>
          </cell>
          <cell r="D1363" t="str">
            <v>010-2853-2992</v>
          </cell>
          <cell r="E1363">
            <v>160000</v>
          </cell>
          <cell r="F1363" t="str">
            <v>남</v>
          </cell>
          <cell r="G1363">
            <v>53</v>
          </cell>
          <cell r="H1363" t="str">
            <v>외국인</v>
          </cell>
          <cell r="I1363" t="str">
            <v>LITVINENKO ANDREI</v>
          </cell>
          <cell r="J1363" t="str">
            <v>용역</v>
          </cell>
          <cell r="K1363" t="str">
            <v>정리</v>
          </cell>
          <cell r="O1363">
            <v>45261</v>
          </cell>
          <cell r="Q1363" t="str">
            <v/>
          </cell>
          <cell r="R1363">
            <v>45961</v>
          </cell>
          <cell r="S1363">
            <v>45961</v>
          </cell>
          <cell r="T1363">
            <v>45961</v>
          </cell>
          <cell r="U1363">
            <v>753642834</v>
          </cell>
          <cell r="V1363" t="str">
            <v>보통인부</v>
          </cell>
          <cell r="W1363" t="str">
            <v>러시아</v>
          </cell>
        </row>
        <row r="1364">
          <cell r="A1364" t="str">
            <v>안와르</v>
          </cell>
          <cell r="B1364" t="str">
            <v>원주시 원일로 172번지</v>
          </cell>
          <cell r="C1364" t="str">
            <v>950821-5</v>
          </cell>
          <cell r="D1364" t="str">
            <v>010-5847-5864</v>
          </cell>
          <cell r="E1364">
            <v>160000</v>
          </cell>
          <cell r="F1364" t="str">
            <v>남</v>
          </cell>
          <cell r="G1364">
            <v>32</v>
          </cell>
          <cell r="H1364" t="str">
            <v>외국인</v>
          </cell>
          <cell r="I1364" t="str">
            <v>ACHILOV ANVARDZHON</v>
          </cell>
          <cell r="J1364" t="str">
            <v>용역</v>
          </cell>
          <cell r="K1364" t="str">
            <v>정리</v>
          </cell>
          <cell r="O1364">
            <v>45427</v>
          </cell>
          <cell r="Q1364" t="str">
            <v/>
          </cell>
          <cell r="R1364">
            <v>45961</v>
          </cell>
          <cell r="S1364">
            <v>45961</v>
          </cell>
          <cell r="T1364">
            <v>45961</v>
          </cell>
          <cell r="U1364">
            <v>402165864</v>
          </cell>
          <cell r="V1364" t="str">
            <v>보통인부</v>
          </cell>
          <cell r="W1364" t="str">
            <v>타지키스탄</v>
          </cell>
        </row>
        <row r="1365">
          <cell r="A1365" t="str">
            <v>고르네와</v>
          </cell>
          <cell r="B1365" t="str">
            <v>원주시 원일로 172번지</v>
          </cell>
          <cell r="C1365" t="str">
            <v>980221-5</v>
          </cell>
          <cell r="D1365" t="str">
            <v>010-5160-6650</v>
          </cell>
          <cell r="E1365">
            <v>160000</v>
          </cell>
          <cell r="F1365" t="str">
            <v>남</v>
          </cell>
          <cell r="G1365">
            <v>29</v>
          </cell>
          <cell r="H1365" t="str">
            <v>외국인</v>
          </cell>
          <cell r="I1365" t="str">
            <v>KURNIAWAN</v>
          </cell>
          <cell r="J1365" t="str">
            <v>용역</v>
          </cell>
          <cell r="K1365" t="str">
            <v>정리</v>
          </cell>
          <cell r="O1365">
            <v>44582</v>
          </cell>
          <cell r="Q1365" t="str">
            <v/>
          </cell>
          <cell r="R1365">
            <v>45964</v>
          </cell>
          <cell r="S1365">
            <v>45964</v>
          </cell>
          <cell r="T1365">
            <v>45964</v>
          </cell>
          <cell r="U1365" t="str">
            <v>E3803629</v>
          </cell>
          <cell r="V1365" t="str">
            <v>보통인부</v>
          </cell>
          <cell r="W1365" t="str">
            <v>인도네시아</v>
          </cell>
        </row>
        <row r="1366">
          <cell r="A1366" t="str">
            <v>록만</v>
          </cell>
          <cell r="C1366" t="str">
            <v>880621-5</v>
          </cell>
          <cell r="D1366" t="str">
            <v>010-9582-5998</v>
          </cell>
          <cell r="E1366">
            <v>160000</v>
          </cell>
          <cell r="F1366" t="str">
            <v>남</v>
          </cell>
          <cell r="G1366">
            <v>39</v>
          </cell>
          <cell r="H1366" t="str">
            <v>외국인</v>
          </cell>
          <cell r="I1366" t="str">
            <v>LUKMANUDIN</v>
          </cell>
          <cell r="J1366" t="str">
            <v>용역</v>
          </cell>
          <cell r="K1366" t="str">
            <v>정리</v>
          </cell>
          <cell r="O1366">
            <v>44600</v>
          </cell>
          <cell r="Q1366" t="str">
            <v/>
          </cell>
          <cell r="R1366">
            <v>45964</v>
          </cell>
          <cell r="S1366">
            <v>45964</v>
          </cell>
          <cell r="T1366">
            <v>45964</v>
          </cell>
          <cell r="U1366" t="str">
            <v>E4683958</v>
          </cell>
          <cell r="V1366" t="str">
            <v>보통인부</v>
          </cell>
          <cell r="W1366" t="str">
            <v>인도네시아</v>
          </cell>
        </row>
        <row r="1367">
          <cell r="A1367" t="str">
            <v>짠광휘</v>
          </cell>
          <cell r="B1367" t="str">
            <v>북원로 2485번길</v>
          </cell>
          <cell r="C1367" t="str">
            <v>010906-5</v>
          </cell>
          <cell r="D1367" t="str">
            <v>010-5803-4083</v>
          </cell>
          <cell r="E1367">
            <v>160000</v>
          </cell>
          <cell r="F1367" t="str">
            <v>남</v>
          </cell>
          <cell r="G1367">
            <v>126</v>
          </cell>
          <cell r="H1367" t="str">
            <v>외국인</v>
          </cell>
          <cell r="I1367" t="str">
            <v>TRAN QUANG HUY</v>
          </cell>
          <cell r="J1367" t="str">
            <v>용역</v>
          </cell>
          <cell r="K1367" t="str">
            <v>정리</v>
          </cell>
          <cell r="O1367">
            <v>45667</v>
          </cell>
          <cell r="Q1367" t="str">
            <v/>
          </cell>
          <cell r="R1367">
            <v>45971</v>
          </cell>
          <cell r="S1367">
            <v>45971</v>
          </cell>
          <cell r="T1367">
            <v>45971</v>
          </cell>
          <cell r="U1367" t="str">
            <v>P03750953</v>
          </cell>
          <cell r="V1367" t="str">
            <v>보통인부</v>
          </cell>
          <cell r="W1367" t="str">
            <v>베트남</v>
          </cell>
        </row>
        <row r="1368">
          <cell r="A1368" t="str">
            <v>오야틀러</v>
          </cell>
          <cell r="B1368" t="str">
            <v>상지대길 75-25</v>
          </cell>
          <cell r="C1368" t="str">
            <v>790814-5</v>
          </cell>
          <cell r="D1368" t="str">
            <v>010-3918-5635</v>
          </cell>
          <cell r="E1368">
            <v>160000</v>
          </cell>
          <cell r="F1368" t="str">
            <v>남</v>
          </cell>
          <cell r="G1368">
            <v>48</v>
          </cell>
          <cell r="H1368" t="str">
            <v>외국인</v>
          </cell>
          <cell r="I1368" t="str">
            <v>SAFOLOV OYATULLO</v>
          </cell>
          <cell r="J1368" t="str">
            <v>용역</v>
          </cell>
          <cell r="K1368" t="str">
            <v>정리</v>
          </cell>
          <cell r="O1368">
            <v>45757</v>
          </cell>
          <cell r="Q1368" t="str">
            <v/>
          </cell>
          <cell r="R1368">
            <v>45971</v>
          </cell>
          <cell r="S1368">
            <v>45971</v>
          </cell>
          <cell r="T1368">
            <v>45971</v>
          </cell>
          <cell r="U1368">
            <v>400587363</v>
          </cell>
          <cell r="V1368" t="str">
            <v>보통인부</v>
          </cell>
          <cell r="W1368" t="str">
            <v>타지키스탄</v>
          </cell>
        </row>
        <row r="1369">
          <cell r="A1369" t="str">
            <v>아스간드</v>
          </cell>
          <cell r="B1369" t="str">
            <v>상지대길 75-25</v>
          </cell>
          <cell r="C1369" t="str">
            <v>820403-5142104</v>
          </cell>
          <cell r="D1369" t="str">
            <v>010-3477-5533</v>
          </cell>
          <cell r="E1369">
            <v>160000</v>
          </cell>
          <cell r="F1369" t="str">
            <v>남</v>
          </cell>
          <cell r="G1369">
            <v>45</v>
          </cell>
          <cell r="H1369" t="str">
            <v>외국인</v>
          </cell>
          <cell r="I1369" t="str">
            <v>SAIDQULOV ISKANDAR</v>
          </cell>
          <cell r="J1369" t="str">
            <v>용역</v>
          </cell>
          <cell r="K1369" t="str">
            <v>정리</v>
          </cell>
          <cell r="O1369">
            <v>45550</v>
          </cell>
          <cell r="P1369" t="str">
            <v>기타G-1</v>
          </cell>
          <cell r="Q1369">
            <v>46000</v>
          </cell>
          <cell r="R1369">
            <v>45971</v>
          </cell>
          <cell r="S1369">
            <v>45971</v>
          </cell>
          <cell r="T1369">
            <v>45971</v>
          </cell>
          <cell r="V1369" t="str">
            <v>보통인부</v>
          </cell>
          <cell r="W1369" t="str">
            <v>타지키스탄</v>
          </cell>
        </row>
        <row r="1370">
          <cell r="A1370" t="str">
            <v>아사</v>
          </cell>
          <cell r="B1370" t="str">
            <v>원주시 원일로 172</v>
          </cell>
          <cell r="C1370" t="str">
            <v>000608-5</v>
          </cell>
          <cell r="D1370" t="str">
            <v>010-3499-6016</v>
          </cell>
          <cell r="E1370">
            <v>160000</v>
          </cell>
          <cell r="F1370" t="str">
            <v>남</v>
          </cell>
          <cell r="G1370">
            <v>27</v>
          </cell>
          <cell r="H1370" t="str">
            <v>외국인</v>
          </cell>
          <cell r="I1370" t="str">
            <v>ASADBEK</v>
          </cell>
          <cell r="J1370" t="str">
            <v>용역</v>
          </cell>
          <cell r="K1370" t="str">
            <v>정리</v>
          </cell>
          <cell r="O1370">
            <v>45427</v>
          </cell>
          <cell r="Q1370" t="str">
            <v/>
          </cell>
          <cell r="R1370">
            <v>45975</v>
          </cell>
          <cell r="S1370">
            <v>45975</v>
          </cell>
          <cell r="T1370">
            <v>45975</v>
          </cell>
          <cell r="U1370" t="str">
            <v>AB5402296</v>
          </cell>
          <cell r="V1370" t="str">
            <v>보통인부</v>
          </cell>
          <cell r="W1370" t="str">
            <v>우즈베키스타</v>
          </cell>
        </row>
        <row r="1371">
          <cell r="A1371" t="str">
            <v>유스</v>
          </cell>
          <cell r="B1371" t="str">
            <v>원주시 원일로 172</v>
          </cell>
          <cell r="C1371" t="str">
            <v>050816-5</v>
          </cell>
          <cell r="D1371" t="str">
            <v>010-8202-1444</v>
          </cell>
          <cell r="E1371">
            <v>160000</v>
          </cell>
          <cell r="F1371" t="str">
            <v>남</v>
          </cell>
          <cell r="G1371">
            <v>22</v>
          </cell>
          <cell r="H1371" t="str">
            <v>외국인</v>
          </cell>
          <cell r="I1371" t="str">
            <v>MUXAMMADYUSUF</v>
          </cell>
          <cell r="J1371" t="str">
            <v>용역</v>
          </cell>
          <cell r="K1371" t="str">
            <v>정리</v>
          </cell>
          <cell r="O1371">
            <v>45550</v>
          </cell>
          <cell r="Q1371" t="str">
            <v/>
          </cell>
          <cell r="R1371">
            <v>45975</v>
          </cell>
          <cell r="S1371">
            <v>45975</v>
          </cell>
          <cell r="T1371">
            <v>45975</v>
          </cell>
          <cell r="U1371" t="str">
            <v>AD0636519</v>
          </cell>
          <cell r="V1371" t="str">
            <v>보통인부</v>
          </cell>
          <cell r="W1371" t="str">
            <v>우즈베키스타</v>
          </cell>
        </row>
        <row r="1372">
          <cell r="A1372" t="str">
            <v>샤룸</v>
          </cell>
          <cell r="B1372" t="str">
            <v>원주시 원일로 172</v>
          </cell>
          <cell r="C1372" t="str">
            <v>980313-5</v>
          </cell>
          <cell r="D1372" t="str">
            <v>010-5639-6298</v>
          </cell>
          <cell r="E1372">
            <v>160000</v>
          </cell>
          <cell r="F1372" t="str">
            <v>남</v>
          </cell>
          <cell r="G1372">
            <v>29</v>
          </cell>
          <cell r="H1372" t="str">
            <v>외국인</v>
          </cell>
          <cell r="I1372" t="str">
            <v>MOHD SHAHROM BIN JAMIL</v>
          </cell>
          <cell r="J1372" t="str">
            <v>용역</v>
          </cell>
          <cell r="K1372" t="str">
            <v>정리</v>
          </cell>
          <cell r="O1372">
            <v>44696</v>
          </cell>
          <cell r="Q1372" t="str">
            <v/>
          </cell>
          <cell r="R1372">
            <v>45975</v>
          </cell>
          <cell r="S1372">
            <v>45975</v>
          </cell>
          <cell r="T1372">
            <v>45975</v>
          </cell>
          <cell r="U1372" t="str">
            <v>H60215455</v>
          </cell>
          <cell r="V1372" t="str">
            <v>보통인부</v>
          </cell>
          <cell r="W1372" t="str">
            <v>말레이시아</v>
          </cell>
        </row>
        <row r="1373">
          <cell r="A1373" t="str">
            <v>쿠마</v>
          </cell>
          <cell r="B1373" t="str">
            <v>원주시 원일로 172</v>
          </cell>
          <cell r="C1373" t="str">
            <v>900722-5</v>
          </cell>
          <cell r="D1373" t="str">
            <v>010-6788-7812</v>
          </cell>
          <cell r="E1373">
            <v>160000</v>
          </cell>
          <cell r="F1373" t="str">
            <v>남</v>
          </cell>
          <cell r="G1373">
            <v>37</v>
          </cell>
          <cell r="H1373" t="str">
            <v>외국인</v>
          </cell>
          <cell r="I1373" t="str">
            <v>RICKY PURWA HIDAYAT</v>
          </cell>
          <cell r="J1373" t="str">
            <v>용역</v>
          </cell>
          <cell r="K1373" t="str">
            <v>정리</v>
          </cell>
          <cell r="O1373">
            <v>45517</v>
          </cell>
          <cell r="R1373">
            <v>45976</v>
          </cell>
          <cell r="S1373">
            <v>45976</v>
          </cell>
          <cell r="T1373">
            <v>45976</v>
          </cell>
          <cell r="U1373" t="str">
            <v>E7305423</v>
          </cell>
          <cell r="V1373" t="str">
            <v>보통인부</v>
          </cell>
          <cell r="W1373" t="str">
            <v>인도네시아</v>
          </cell>
        </row>
        <row r="1374">
          <cell r="A1374" t="str">
            <v>마니카</v>
          </cell>
          <cell r="B1374" t="str">
            <v>원주시 원일로 172</v>
          </cell>
          <cell r="C1374" t="str">
            <v>860122-5</v>
          </cell>
          <cell r="D1374" t="str">
            <v>010-3641-7812</v>
          </cell>
          <cell r="E1374">
            <v>160000</v>
          </cell>
          <cell r="F1374" t="str">
            <v>남</v>
          </cell>
          <cell r="G1374">
            <v>41</v>
          </cell>
          <cell r="H1374" t="str">
            <v>외국인</v>
          </cell>
          <cell r="I1374" t="str">
            <v>TELPAROV VADIM</v>
          </cell>
          <cell r="J1374" t="str">
            <v>용역</v>
          </cell>
          <cell r="K1374" t="str">
            <v>정리</v>
          </cell>
          <cell r="O1374">
            <v>45031</v>
          </cell>
          <cell r="R1374">
            <v>45976</v>
          </cell>
          <cell r="S1374">
            <v>45976</v>
          </cell>
          <cell r="T1374">
            <v>45976</v>
          </cell>
          <cell r="U1374">
            <v>754522629</v>
          </cell>
          <cell r="V1374" t="str">
            <v>보통인부</v>
          </cell>
          <cell r="W1374" t="str">
            <v>러시아</v>
          </cell>
        </row>
        <row r="1375">
          <cell r="A1375" t="str">
            <v>아스로</v>
          </cell>
          <cell r="B1375" t="str">
            <v>원주시 원일로 172</v>
          </cell>
          <cell r="C1375" t="str">
            <v>030503-5</v>
          </cell>
          <cell r="D1375" t="str">
            <v>010-2463-8332</v>
          </cell>
          <cell r="E1375">
            <v>160000</v>
          </cell>
          <cell r="F1375" t="str">
            <v>남</v>
          </cell>
          <cell r="G1375">
            <v>24</v>
          </cell>
          <cell r="H1375" t="str">
            <v>외국인</v>
          </cell>
          <cell r="I1375" t="str">
            <v>DEKHKONOV ASRORBEK</v>
          </cell>
          <cell r="J1375" t="str">
            <v>용역</v>
          </cell>
          <cell r="K1375" t="str">
            <v>정리</v>
          </cell>
          <cell r="O1375">
            <v>45760</v>
          </cell>
          <cell r="R1375">
            <v>45978</v>
          </cell>
          <cell r="S1375">
            <v>45978</v>
          </cell>
          <cell r="T1375">
            <v>45978</v>
          </cell>
          <cell r="U1375" t="str">
            <v>AC1908601</v>
          </cell>
          <cell r="V1375" t="str">
            <v>보통인부</v>
          </cell>
          <cell r="W1375" t="str">
            <v>우즈베키스탄</v>
          </cell>
        </row>
        <row r="1376">
          <cell r="A1376" t="str">
            <v>후시리딘</v>
          </cell>
          <cell r="B1376" t="str">
            <v>원주시 원일로 172</v>
          </cell>
          <cell r="C1376" t="str">
            <v>021021-5</v>
          </cell>
          <cell r="D1376" t="str">
            <v>010-6894-7702</v>
          </cell>
          <cell r="E1376">
            <v>160000</v>
          </cell>
          <cell r="F1376" t="str">
            <v>남</v>
          </cell>
          <cell r="G1376">
            <v>25</v>
          </cell>
          <cell r="H1376" t="str">
            <v>외국인</v>
          </cell>
          <cell r="I1376" t="str">
            <v>BURKHANOV KHUSNIDDIN</v>
          </cell>
          <cell r="J1376" t="str">
            <v>용역</v>
          </cell>
          <cell r="K1376" t="str">
            <v>정리</v>
          </cell>
          <cell r="O1376">
            <v>45804</v>
          </cell>
          <cell r="R1376">
            <v>45978</v>
          </cell>
          <cell r="S1376">
            <v>45978</v>
          </cell>
          <cell r="T1376">
            <v>45978</v>
          </cell>
          <cell r="U1376" t="str">
            <v>AC1874031</v>
          </cell>
          <cell r="V1376" t="str">
            <v>보통인부</v>
          </cell>
          <cell r="W1376" t="str">
            <v>우즈베키스탄</v>
          </cell>
        </row>
        <row r="1377">
          <cell r="A1377" t="str">
            <v>라킴잔</v>
          </cell>
          <cell r="B1377" t="str">
            <v>상지대길 75-14</v>
          </cell>
          <cell r="C1377" t="str">
            <v>880112-5</v>
          </cell>
          <cell r="D1377" t="str">
            <v>010-5741-1771</v>
          </cell>
          <cell r="E1377">
            <v>160000</v>
          </cell>
          <cell r="F1377" t="str">
            <v>남</v>
          </cell>
          <cell r="G1377">
            <v>39</v>
          </cell>
          <cell r="H1377" t="str">
            <v>외국인</v>
          </cell>
          <cell r="I1377" t="str">
            <v>MOMUNOV RAKHIMZHAN</v>
          </cell>
          <cell r="J1377" t="str">
            <v>용역</v>
          </cell>
          <cell r="K1377" t="str">
            <v>정리</v>
          </cell>
          <cell r="O1377">
            <v>45211</v>
          </cell>
          <cell r="R1377">
            <v>45987</v>
          </cell>
          <cell r="S1377">
            <v>45987</v>
          </cell>
          <cell r="T1377">
            <v>45987</v>
          </cell>
          <cell r="U1377">
            <v>767833070</v>
          </cell>
          <cell r="V1377" t="str">
            <v>보통인부</v>
          </cell>
          <cell r="W1377" t="str">
            <v>러시아</v>
          </cell>
        </row>
        <row r="1378">
          <cell r="A1378" t="str">
            <v>주하일리</v>
          </cell>
          <cell r="B1378" t="str">
            <v>원주시 원일로 172</v>
          </cell>
          <cell r="C1378" t="str">
            <v>970723-5</v>
          </cell>
          <cell r="D1378" t="str">
            <v>010-5683-2262</v>
          </cell>
          <cell r="E1378">
            <v>160000</v>
          </cell>
          <cell r="F1378" t="str">
            <v>남</v>
          </cell>
          <cell r="G1378">
            <v>30</v>
          </cell>
          <cell r="H1378" t="str">
            <v>외국인</v>
          </cell>
          <cell r="I1378" t="str">
            <v>MOHD ZUHAILIE BIN ZALIZAN</v>
          </cell>
          <cell r="J1378" t="str">
            <v>용역</v>
          </cell>
          <cell r="K1378" t="str">
            <v>정리</v>
          </cell>
          <cell r="O1378">
            <v>45757</v>
          </cell>
          <cell r="R1378">
            <v>45988</v>
          </cell>
          <cell r="S1378">
            <v>45988</v>
          </cell>
          <cell r="T1378">
            <v>45988</v>
          </cell>
          <cell r="U1378" t="str">
            <v>H71412790</v>
          </cell>
          <cell r="V1378" t="str">
            <v>보통인부</v>
          </cell>
          <cell r="W1378" t="str">
            <v>말레이시아</v>
          </cell>
        </row>
        <row r="1379">
          <cell r="A1379" t="str">
            <v>나즈룰</v>
          </cell>
          <cell r="B1379" t="str">
            <v>원주시 원일로 172</v>
          </cell>
          <cell r="C1379" t="str">
            <v>920427-5</v>
          </cell>
          <cell r="D1379" t="str">
            <v>010-8132-9016</v>
          </cell>
          <cell r="E1379">
            <v>160000</v>
          </cell>
          <cell r="F1379" t="str">
            <v>남</v>
          </cell>
          <cell r="G1379">
            <v>35</v>
          </cell>
          <cell r="H1379" t="str">
            <v>외국인</v>
          </cell>
          <cell r="I1379" t="str">
            <v>MOHD NAZRUL BIN MD YUNUS</v>
          </cell>
          <cell r="J1379" t="str">
            <v>용역</v>
          </cell>
          <cell r="K1379" t="str">
            <v>정리</v>
          </cell>
          <cell r="O1379">
            <v>45762</v>
          </cell>
          <cell r="R1379">
            <v>45988</v>
          </cell>
          <cell r="S1379">
            <v>45988</v>
          </cell>
          <cell r="T1379">
            <v>45988</v>
          </cell>
          <cell r="U1379" t="str">
            <v>H71829584</v>
          </cell>
          <cell r="V1379" t="str">
            <v>보통인부</v>
          </cell>
          <cell r="W1379" t="str">
            <v>말레이시아</v>
          </cell>
        </row>
        <row r="1380">
          <cell r="A1380" t="str">
            <v>나디</v>
          </cell>
          <cell r="B1380" t="str">
            <v>원주시 원일로 172</v>
          </cell>
          <cell r="C1380" t="str">
            <v>880401-5</v>
          </cell>
          <cell r="D1380" t="str">
            <v>010-3983-3163</v>
          </cell>
          <cell r="E1380">
            <v>160000</v>
          </cell>
          <cell r="F1380" t="str">
            <v>남</v>
          </cell>
          <cell r="G1380">
            <v>39</v>
          </cell>
          <cell r="H1380" t="str">
            <v>외국인</v>
          </cell>
          <cell r="I1380" t="str">
            <v>NADI BIN JAMBIRAN</v>
          </cell>
          <cell r="J1380" t="str">
            <v>용역</v>
          </cell>
          <cell r="K1380" t="str">
            <v>정리</v>
          </cell>
          <cell r="O1380">
            <v>45757</v>
          </cell>
          <cell r="R1380">
            <v>45988</v>
          </cell>
          <cell r="S1380">
            <v>45988</v>
          </cell>
          <cell r="T1380">
            <v>45988</v>
          </cell>
          <cell r="U1380" t="str">
            <v>H71017827</v>
          </cell>
          <cell r="V1380" t="str">
            <v>보통인부</v>
          </cell>
          <cell r="W1380" t="str">
            <v>말레이시아</v>
          </cell>
        </row>
        <row r="1381">
          <cell r="A1381" t="str">
            <v>라임</v>
          </cell>
          <cell r="B1381" t="str">
            <v>원일로 172</v>
          </cell>
          <cell r="C1381" t="str">
            <v>950831-5</v>
          </cell>
          <cell r="D1381" t="str">
            <v>010-6861-5369</v>
          </cell>
          <cell r="E1381">
            <v>160000</v>
          </cell>
          <cell r="F1381" t="str">
            <v>남</v>
          </cell>
          <cell r="G1381">
            <v>32</v>
          </cell>
          <cell r="H1381" t="str">
            <v>외국인</v>
          </cell>
          <cell r="I1381" t="str">
            <v>ABDRAKHMAN RAKHYMZHAN</v>
          </cell>
          <cell r="J1381" t="str">
            <v>용역</v>
          </cell>
          <cell r="K1381" t="str">
            <v>정리</v>
          </cell>
          <cell r="O1381">
            <v>45376</v>
          </cell>
          <cell r="R1381">
            <v>45994</v>
          </cell>
          <cell r="S1381">
            <v>45994</v>
          </cell>
          <cell r="T1381">
            <v>45994</v>
          </cell>
          <cell r="U1381" t="str">
            <v>N14368478</v>
          </cell>
          <cell r="V1381" t="str">
            <v>보통인부</v>
          </cell>
          <cell r="W1381" t="str">
            <v>카자흐스탄</v>
          </cell>
        </row>
        <row r="1382">
          <cell r="A1382" t="str">
            <v>칼란다</v>
          </cell>
          <cell r="B1382" t="str">
            <v>원일로 172</v>
          </cell>
          <cell r="C1382" t="str">
            <v>820430-5</v>
          </cell>
          <cell r="D1382" t="str">
            <v>010-4295-2899</v>
          </cell>
          <cell r="E1382">
            <v>160000</v>
          </cell>
          <cell r="F1382" t="str">
            <v>남</v>
          </cell>
          <cell r="G1382">
            <v>45</v>
          </cell>
          <cell r="H1382" t="str">
            <v>외국인</v>
          </cell>
          <cell r="I1382" t="str">
            <v>KALANDAROV BURKHONKHON</v>
          </cell>
          <cell r="J1382" t="str">
            <v>용역</v>
          </cell>
          <cell r="K1382" t="str">
            <v>정리</v>
          </cell>
          <cell r="O1382">
            <v>44901</v>
          </cell>
          <cell r="R1382">
            <v>45994</v>
          </cell>
          <cell r="S1382">
            <v>45994</v>
          </cell>
          <cell r="T1382">
            <v>45994</v>
          </cell>
          <cell r="U1382">
            <v>768116443</v>
          </cell>
          <cell r="V1382" t="str">
            <v>보통인부</v>
          </cell>
          <cell r="W1382" t="str">
            <v>러시아</v>
          </cell>
        </row>
        <row r="1383">
          <cell r="A1383" t="str">
            <v>리잘</v>
          </cell>
          <cell r="C1383" t="str">
            <v>990913-5</v>
          </cell>
          <cell r="D1383" t="str">
            <v>010-3993-4352</v>
          </cell>
          <cell r="E1383">
            <v>160000</v>
          </cell>
          <cell r="F1383" t="str">
            <v>남</v>
          </cell>
          <cell r="G1383">
            <v>28</v>
          </cell>
          <cell r="H1383" t="str">
            <v>외국인</v>
          </cell>
          <cell r="I1383" t="str">
            <v>RIZAL GUNAWAN</v>
          </cell>
          <cell r="J1383" t="str">
            <v>용역</v>
          </cell>
          <cell r="K1383" t="str">
            <v>정리</v>
          </cell>
          <cell r="O1383">
            <v>44941</v>
          </cell>
          <cell r="Q1383" t="str">
            <v/>
          </cell>
          <cell r="R1383">
            <v>46043</v>
          </cell>
          <cell r="S1383">
            <v>46043</v>
          </cell>
          <cell r="T1383">
            <v>46043</v>
          </cell>
          <cell r="U1383" t="str">
            <v>C7597199</v>
          </cell>
          <cell r="V1383" t="str">
            <v>보통인부</v>
          </cell>
          <cell r="W1383" t="str">
            <v>인도네시아</v>
          </cell>
        </row>
        <row r="1384">
          <cell r="A1384" t="str">
            <v>미사엘</v>
          </cell>
          <cell r="C1384" t="str">
            <v>991203-5</v>
          </cell>
          <cell r="D1384" t="str">
            <v>010-7272-9944</v>
          </cell>
          <cell r="E1384">
            <v>160000</v>
          </cell>
          <cell r="F1384" t="str">
            <v>남</v>
          </cell>
          <cell r="G1384">
            <v>28</v>
          </cell>
          <cell r="H1384" t="str">
            <v>외국인</v>
          </cell>
          <cell r="I1384" t="str">
            <v>MISAEL BIN KISIL</v>
          </cell>
          <cell r="J1384" t="str">
            <v>용역</v>
          </cell>
          <cell r="K1384" t="str">
            <v>정리</v>
          </cell>
          <cell r="O1384">
            <v>45010</v>
          </cell>
          <cell r="Q1384" t="str">
            <v/>
          </cell>
          <cell r="R1384">
            <v>46043</v>
          </cell>
          <cell r="S1384">
            <v>46043</v>
          </cell>
          <cell r="T1384">
            <v>46043</v>
          </cell>
          <cell r="U1384" t="str">
            <v>H61063605</v>
          </cell>
          <cell r="V1384" t="str">
            <v>보통인부</v>
          </cell>
          <cell r="W1384" t="str">
            <v>말레이시아</v>
          </cell>
        </row>
        <row r="1385">
          <cell r="A1385" t="str">
            <v>세르게이</v>
          </cell>
          <cell r="C1385" t="str">
            <v>870621-5</v>
          </cell>
          <cell r="D1385" t="str">
            <v>010-6453-5051</v>
          </cell>
          <cell r="E1385">
            <v>160000</v>
          </cell>
          <cell r="F1385" t="str">
            <v>남</v>
          </cell>
          <cell r="G1385">
            <v>40</v>
          </cell>
          <cell r="H1385" t="str">
            <v>외국인</v>
          </cell>
          <cell r="I1385" t="str">
            <v>KIM SERGEY</v>
          </cell>
          <cell r="J1385" t="str">
            <v>용역</v>
          </cell>
          <cell r="K1385" t="str">
            <v>정리</v>
          </cell>
          <cell r="O1385">
            <v>41446</v>
          </cell>
          <cell r="Q1385" t="str">
            <v/>
          </cell>
          <cell r="R1385">
            <v>46043</v>
          </cell>
          <cell r="S1385">
            <v>46043</v>
          </cell>
          <cell r="T1385">
            <v>46043</v>
          </cell>
          <cell r="U1385" t="str">
            <v>FA0655999</v>
          </cell>
          <cell r="V1385" t="str">
            <v>보통인부</v>
          </cell>
          <cell r="W1385" t="str">
            <v>우즈베키스탄</v>
          </cell>
        </row>
        <row r="1386">
          <cell r="A1386" t="str">
            <v>카에리</v>
          </cell>
          <cell r="C1386" t="str">
            <v>860403-5</v>
          </cell>
          <cell r="D1386" t="str">
            <v>010-6668-4780</v>
          </cell>
          <cell r="E1386">
            <v>160000</v>
          </cell>
          <cell r="F1386" t="str">
            <v>남</v>
          </cell>
          <cell r="G1386">
            <v>41</v>
          </cell>
          <cell r="H1386" t="str">
            <v>외국인</v>
          </cell>
          <cell r="I1386" t="str">
            <v>MOHD KHAIRI BIN SUDIN</v>
          </cell>
          <cell r="J1386" t="str">
            <v>용역</v>
          </cell>
          <cell r="K1386" t="str">
            <v>정리</v>
          </cell>
          <cell r="O1386">
            <v>44059</v>
          </cell>
          <cell r="Q1386" t="str">
            <v/>
          </cell>
          <cell r="R1386">
            <v>46048</v>
          </cell>
          <cell r="S1386">
            <v>46048</v>
          </cell>
          <cell r="T1386">
            <v>46048</v>
          </cell>
          <cell r="U1386" t="str">
            <v>A57340084</v>
          </cell>
          <cell r="V1386" t="str">
            <v>보통인부</v>
          </cell>
          <cell r="W1386" t="str">
            <v>말레이시아</v>
          </cell>
        </row>
        <row r="1387">
          <cell r="A1387" t="str">
            <v>기안</v>
          </cell>
          <cell r="C1387" t="str">
            <v>020531-5</v>
          </cell>
          <cell r="D1387" t="str">
            <v>010-5933-0533</v>
          </cell>
          <cell r="E1387">
            <v>160000</v>
          </cell>
          <cell r="F1387" t="str">
            <v>남</v>
          </cell>
          <cell r="G1387">
            <v>25</v>
          </cell>
          <cell r="H1387" t="str">
            <v>외국인</v>
          </cell>
          <cell r="I1387" t="str">
            <v>GIAN RAMANDA</v>
          </cell>
          <cell r="J1387" t="str">
            <v>용역</v>
          </cell>
          <cell r="K1387" t="str">
            <v>정리</v>
          </cell>
          <cell r="O1387">
            <v>44907</v>
          </cell>
          <cell r="Q1387" t="str">
            <v/>
          </cell>
          <cell r="R1387">
            <v>46048</v>
          </cell>
          <cell r="S1387">
            <v>46048</v>
          </cell>
          <cell r="T1387">
            <v>46048</v>
          </cell>
          <cell r="U1387" t="str">
            <v>E2334665</v>
          </cell>
          <cell r="V1387" t="str">
            <v>보통인부</v>
          </cell>
          <cell r="W1387" t="str">
            <v>인도네시아</v>
          </cell>
        </row>
        <row r="1388">
          <cell r="A1388" t="str">
            <v>후시</v>
          </cell>
          <cell r="C1388" t="str">
            <v>040708-5</v>
          </cell>
          <cell r="D1388" t="str">
            <v>010-8105-0166</v>
          </cell>
          <cell r="E1388">
            <v>170000</v>
          </cell>
          <cell r="F1388" t="str">
            <v>남</v>
          </cell>
          <cell r="G1388">
            <v>23</v>
          </cell>
          <cell r="H1388" t="str">
            <v>외국인</v>
          </cell>
          <cell r="I1388" t="str">
            <v>MUINOV KHURSHED KHASANOVICH</v>
          </cell>
          <cell r="J1388" t="str">
            <v>용역</v>
          </cell>
          <cell r="K1388" t="str">
            <v>정리</v>
          </cell>
          <cell r="O1388">
            <v>45739</v>
          </cell>
          <cell r="R1388">
            <v>46074</v>
          </cell>
          <cell r="S1388">
            <v>46074</v>
          </cell>
          <cell r="T1388">
            <v>46074</v>
          </cell>
          <cell r="U1388" t="str">
            <v>FA8773803</v>
          </cell>
          <cell r="V1388" t="str">
            <v>형틀목공</v>
          </cell>
          <cell r="W1388" t="str">
            <v>우즈베키스탄</v>
          </cell>
        </row>
        <row r="1389">
          <cell r="A1389" t="str">
            <v>후리시애드</v>
          </cell>
          <cell r="C1389" t="str">
            <v>040423-5</v>
          </cell>
          <cell r="D1389" t="str">
            <v>010-2659-6210</v>
          </cell>
          <cell r="E1389">
            <v>170000</v>
          </cell>
          <cell r="F1389" t="str">
            <v>남</v>
          </cell>
          <cell r="G1389">
            <v>23</v>
          </cell>
          <cell r="H1389" t="str">
            <v>외국인</v>
          </cell>
          <cell r="I1389" t="str">
            <v>MELIKOV KHURSHED UMEDBEKOVICH</v>
          </cell>
          <cell r="J1389" t="str">
            <v>용역</v>
          </cell>
          <cell r="K1389" t="str">
            <v>정리</v>
          </cell>
          <cell r="O1389">
            <v>45008</v>
          </cell>
          <cell r="R1389">
            <v>46074</v>
          </cell>
          <cell r="S1389">
            <v>46074</v>
          </cell>
          <cell r="T1389">
            <v>46074</v>
          </cell>
          <cell r="U1389" t="str">
            <v>FA6070604</v>
          </cell>
          <cell r="V1389" t="str">
            <v>형틀목공</v>
          </cell>
          <cell r="W1389" t="str">
            <v>우즈베키스탄</v>
          </cell>
        </row>
        <row r="1390">
          <cell r="A1390" t="str">
            <v>하이리브</v>
          </cell>
          <cell r="C1390" t="str">
            <v>040501-5</v>
          </cell>
          <cell r="D1390" t="str">
            <v>010-9580-1551</v>
          </cell>
          <cell r="E1390">
            <v>170000</v>
          </cell>
          <cell r="F1390" t="str">
            <v>남</v>
          </cell>
          <cell r="G1390">
            <v>23</v>
          </cell>
          <cell r="H1390" t="str">
            <v>외국인</v>
          </cell>
          <cell r="I1390" t="str">
            <v>ABDULLOV KHAIRIDDIN</v>
          </cell>
          <cell r="J1390" t="str">
            <v>용역</v>
          </cell>
          <cell r="K1390" t="str">
            <v>정리</v>
          </cell>
          <cell r="O1390">
            <v>45365</v>
          </cell>
          <cell r="R1390">
            <v>46074</v>
          </cell>
          <cell r="S1390">
            <v>46074</v>
          </cell>
          <cell r="T1390">
            <v>46074</v>
          </cell>
          <cell r="U1390">
            <v>664801012</v>
          </cell>
          <cell r="V1390" t="str">
            <v>형틀목공</v>
          </cell>
          <cell r="W1390" t="str">
            <v>러시아</v>
          </cell>
        </row>
        <row r="1391">
          <cell r="A1391" t="str">
            <v>이판</v>
          </cell>
          <cell r="B1391" t="str">
            <v>원주시 우산동 유원길 17-1</v>
          </cell>
          <cell r="C1391" t="str">
            <v>000910-5</v>
          </cell>
          <cell r="D1391" t="str">
            <v>010-4450-0910</v>
          </cell>
          <cell r="E1391">
            <v>170000</v>
          </cell>
          <cell r="F1391" t="str">
            <v>남</v>
          </cell>
          <cell r="G1391">
            <v>27</v>
          </cell>
          <cell r="H1391" t="str">
            <v>외국인</v>
          </cell>
          <cell r="I1391" t="str">
            <v>IPAN NURPARID</v>
          </cell>
          <cell r="J1391" t="str">
            <v>용역</v>
          </cell>
          <cell r="K1391" t="str">
            <v>정리</v>
          </cell>
          <cell r="O1391">
            <v>45222</v>
          </cell>
          <cell r="R1391">
            <v>46078</v>
          </cell>
          <cell r="S1391">
            <v>46078</v>
          </cell>
          <cell r="T1391">
            <v>46078</v>
          </cell>
          <cell r="U1391" t="str">
            <v>E7304762</v>
          </cell>
          <cell r="V1391" t="str">
            <v>형틀목공</v>
          </cell>
          <cell r="W1391" t="str">
            <v>인도네시아</v>
          </cell>
        </row>
        <row r="1392">
          <cell r="A1392" t="str">
            <v>콜릴</v>
          </cell>
          <cell r="B1392" t="str">
            <v>원주시 우산동 유원길 17-1</v>
          </cell>
          <cell r="C1392" t="str">
            <v>040522-5</v>
          </cell>
          <cell r="D1392" t="str">
            <v>010-7410-6548</v>
          </cell>
          <cell r="E1392">
            <v>170000</v>
          </cell>
          <cell r="F1392" t="str">
            <v>남</v>
          </cell>
          <cell r="G1392">
            <v>23</v>
          </cell>
          <cell r="H1392" t="str">
            <v>외국인</v>
          </cell>
          <cell r="I1392" t="str">
            <v>AHMAD KHOLIL YAHYA</v>
          </cell>
          <cell r="J1392" t="str">
            <v>용역</v>
          </cell>
          <cell r="K1392" t="str">
            <v>정리</v>
          </cell>
          <cell r="O1392">
            <v>45762</v>
          </cell>
          <cell r="R1392">
            <v>46078</v>
          </cell>
          <cell r="S1392">
            <v>46078</v>
          </cell>
          <cell r="T1392">
            <v>46078</v>
          </cell>
          <cell r="U1392" t="str">
            <v>E3803600</v>
          </cell>
          <cell r="V1392" t="str">
            <v>형틀목공</v>
          </cell>
          <cell r="W1392" t="str">
            <v>인도네시아</v>
          </cell>
        </row>
        <row r="1393">
          <cell r="A1393" t="str">
            <v>포질</v>
          </cell>
          <cell r="B1393" t="str">
            <v>원주시 우산동 유원길 17-1</v>
          </cell>
          <cell r="C1393" t="str">
            <v>041004-5</v>
          </cell>
          <cell r="D1393" t="str">
            <v>010-6798-4467</v>
          </cell>
          <cell r="E1393">
            <v>170000</v>
          </cell>
          <cell r="F1393" t="str">
            <v>남</v>
          </cell>
          <cell r="G1393">
            <v>23</v>
          </cell>
          <cell r="H1393" t="str">
            <v>외국인</v>
          </cell>
          <cell r="I1393" t="str">
            <v>KHAMROKULOV FOZILJON KHAYRILLOEVICH</v>
          </cell>
          <cell r="J1393" t="str">
            <v>용역</v>
          </cell>
          <cell r="K1393" t="str">
            <v>정리</v>
          </cell>
          <cell r="O1393">
            <v>45739</v>
          </cell>
          <cell r="R1393">
            <v>46079</v>
          </cell>
          <cell r="S1393">
            <v>46079</v>
          </cell>
          <cell r="T1393">
            <v>46079</v>
          </cell>
          <cell r="U1393" t="str">
            <v>FA737477</v>
          </cell>
          <cell r="V1393" t="str">
            <v>형틀목공</v>
          </cell>
          <cell r="W1393" t="str">
            <v>우즈베키스탄</v>
          </cell>
        </row>
        <row r="1394">
          <cell r="A1394" t="str">
            <v>다위라트</v>
          </cell>
          <cell r="B1394" t="str">
            <v>원주시 상지대길 58</v>
          </cell>
          <cell r="C1394" t="str">
            <v>040121-5</v>
          </cell>
          <cell r="D1394" t="str">
            <v>010-8190-0701</v>
          </cell>
          <cell r="E1394">
            <v>170000</v>
          </cell>
          <cell r="F1394" t="str">
            <v>남</v>
          </cell>
          <cell r="G1394">
            <v>23</v>
          </cell>
          <cell r="H1394" t="str">
            <v>외국인</v>
          </cell>
          <cell r="I1394" t="str">
            <v>ODILOV DAVLATJON TOSHPULOTOVICH</v>
          </cell>
          <cell r="J1394" t="str">
            <v>용역</v>
          </cell>
          <cell r="K1394" t="str">
            <v>정리</v>
          </cell>
          <cell r="O1394">
            <v>45739</v>
          </cell>
          <cell r="R1394">
            <v>46084</v>
          </cell>
          <cell r="S1394">
            <v>46084</v>
          </cell>
          <cell r="T1394">
            <v>46084</v>
          </cell>
          <cell r="U1394" t="str">
            <v>FB0923663</v>
          </cell>
          <cell r="V1394" t="str">
            <v>형틀목공</v>
          </cell>
          <cell r="W1394" t="str">
            <v>우즈베키스탄</v>
          </cell>
        </row>
        <row r="1395">
          <cell r="A1395" t="str">
            <v>쇼히</v>
          </cell>
          <cell r="B1395" t="str">
            <v>원주시 상지대길 58</v>
          </cell>
          <cell r="C1395" t="str">
            <v>030403-5</v>
          </cell>
          <cell r="E1395">
            <v>170000</v>
          </cell>
          <cell r="F1395" t="str">
            <v>남</v>
          </cell>
          <cell r="G1395">
            <v>24</v>
          </cell>
          <cell r="H1395" t="str">
            <v>외국인</v>
          </cell>
          <cell r="I1395" t="str">
            <v>AKHTAMOV AFZALSHOKH TOHIROVICH</v>
          </cell>
          <cell r="J1395" t="str">
            <v>용역</v>
          </cell>
          <cell r="K1395" t="str">
            <v>정리</v>
          </cell>
          <cell r="O1395">
            <v>45008</v>
          </cell>
          <cell r="R1395">
            <v>46084</v>
          </cell>
          <cell r="S1395">
            <v>46084</v>
          </cell>
          <cell r="T1395">
            <v>46084</v>
          </cell>
          <cell r="U1395" t="str">
            <v>FA4919368</v>
          </cell>
          <cell r="V1395" t="str">
            <v>형틀목공</v>
          </cell>
          <cell r="W1395" t="str">
            <v>우즈베키스탄</v>
          </cell>
        </row>
        <row r="1396">
          <cell r="F1396" t="str">
            <v/>
          </cell>
          <cell r="G1396" t="str">
            <v/>
          </cell>
          <cell r="H1396" t="str">
            <v/>
          </cell>
          <cell r="Q1396" t="str">
            <v/>
          </cell>
        </row>
        <row r="1397">
          <cell r="F1397" t="str">
            <v/>
          </cell>
          <cell r="G1397" t="str">
            <v/>
          </cell>
          <cell r="H1397" t="str">
            <v/>
          </cell>
          <cell r="Q1397" t="str">
            <v/>
          </cell>
        </row>
        <row r="1398">
          <cell r="F1398" t="str">
            <v/>
          </cell>
          <cell r="G1398" t="str">
            <v/>
          </cell>
          <cell r="H1398" t="str">
            <v/>
          </cell>
          <cell r="Q1398" t="str">
            <v/>
          </cell>
        </row>
        <row r="1399">
          <cell r="F1399" t="str">
            <v/>
          </cell>
          <cell r="G1399" t="str">
            <v/>
          </cell>
          <cell r="H1399" t="str">
            <v/>
          </cell>
          <cell r="Q1399" t="str">
            <v/>
          </cell>
        </row>
        <row r="1400">
          <cell r="F1400" t="str">
            <v/>
          </cell>
          <cell r="G1400" t="str">
            <v/>
          </cell>
          <cell r="H1400" t="str">
            <v/>
          </cell>
          <cell r="Q1400" t="str">
            <v/>
          </cell>
        </row>
        <row r="1401">
          <cell r="F1401" t="str">
            <v/>
          </cell>
          <cell r="G1401" t="str">
            <v/>
          </cell>
          <cell r="H1401" t="str">
            <v/>
          </cell>
          <cell r="Q1401" t="str">
            <v/>
          </cell>
        </row>
        <row r="1402">
          <cell r="F1402" t="str">
            <v/>
          </cell>
          <cell r="G1402" t="str">
            <v/>
          </cell>
          <cell r="H1402" t="str">
            <v/>
          </cell>
          <cell r="Q1402" t="str">
            <v/>
          </cell>
        </row>
        <row r="1403">
          <cell r="F1403" t="str">
            <v/>
          </cell>
          <cell r="G1403" t="str">
            <v/>
          </cell>
          <cell r="H1403" t="str">
            <v/>
          </cell>
          <cell r="Q1403" t="str">
            <v/>
          </cell>
        </row>
        <row r="1404">
          <cell r="A1404" t="str">
            <v>코스카인력</v>
          </cell>
          <cell r="F1404" t="str">
            <v/>
          </cell>
          <cell r="G1404" t="str">
            <v/>
          </cell>
          <cell r="H1404" t="str">
            <v/>
          </cell>
          <cell r="Q1404" t="str">
            <v/>
          </cell>
        </row>
        <row r="1405">
          <cell r="A1405" t="str">
            <v>배동철</v>
          </cell>
          <cell r="B1405" t="str">
            <v>경기 시흥시 큰솔로66번길 2,203호</v>
          </cell>
          <cell r="C1405" t="str">
            <v>630514-5100490</v>
          </cell>
          <cell r="D1405" t="str">
            <v>010-8268-7168</v>
          </cell>
          <cell r="E1405">
            <v>170000</v>
          </cell>
          <cell r="F1405" t="str">
            <v>남</v>
          </cell>
          <cell r="G1405">
            <v>64</v>
          </cell>
          <cell r="H1405" t="str">
            <v>외국인</v>
          </cell>
          <cell r="I1405" t="str">
            <v>PEI DONGTIE</v>
          </cell>
          <cell r="J1405" t="str">
            <v>용역</v>
          </cell>
          <cell r="K1405" t="str">
            <v>코스카인력</v>
          </cell>
          <cell r="O1405">
            <v>45080</v>
          </cell>
          <cell r="P1405" t="str">
            <v>재외동포F4</v>
          </cell>
          <cell r="Q1405">
            <v>46857</v>
          </cell>
          <cell r="R1405">
            <v>46055</v>
          </cell>
          <cell r="S1405">
            <v>46055</v>
          </cell>
          <cell r="T1405">
            <v>46055</v>
          </cell>
          <cell r="U1405" t="str">
            <v>EN6422610</v>
          </cell>
          <cell r="V1405" t="str">
            <v>보통인부</v>
          </cell>
          <cell r="W1405" t="str">
            <v>중국</v>
          </cell>
        </row>
        <row r="1406">
          <cell r="A1406" t="str">
            <v>허천일</v>
          </cell>
          <cell r="B1406" t="str">
            <v>경기 화성시 우정읍 3.1만세로 69-5</v>
          </cell>
          <cell r="C1406" t="str">
            <v>630801-5102399</v>
          </cell>
          <cell r="D1406" t="str">
            <v>010-3035-3688</v>
          </cell>
          <cell r="E1406">
            <v>170000</v>
          </cell>
          <cell r="F1406" t="str">
            <v>남</v>
          </cell>
          <cell r="G1406">
            <v>64</v>
          </cell>
          <cell r="H1406" t="str">
            <v>외국인</v>
          </cell>
          <cell r="I1406" t="str">
            <v>XU TIANRI</v>
          </cell>
          <cell r="J1406" t="str">
            <v>용역</v>
          </cell>
          <cell r="K1406" t="str">
            <v>코스카인력</v>
          </cell>
          <cell r="O1406">
            <v>43175</v>
          </cell>
          <cell r="P1406" t="str">
            <v>재외동포F4</v>
          </cell>
          <cell r="Q1406">
            <v>46494</v>
          </cell>
          <cell r="R1406">
            <v>46055</v>
          </cell>
          <cell r="S1406">
            <v>46055</v>
          </cell>
          <cell r="T1406">
            <v>46055</v>
          </cell>
          <cell r="U1406" t="str">
            <v>EH6410425</v>
          </cell>
          <cell r="W1406" t="str">
            <v>중국</v>
          </cell>
        </row>
        <row r="1409">
          <cell r="A1409" t="str">
            <v>압돌랑</v>
          </cell>
          <cell r="C1409" t="str">
            <v>000708-5</v>
          </cell>
          <cell r="D1409" t="str">
            <v>010-3953-6058</v>
          </cell>
          <cell r="E1409">
            <v>170000</v>
          </cell>
          <cell r="F1409" t="str">
            <v>남</v>
          </cell>
          <cell r="G1409">
            <v>27</v>
          </cell>
          <cell r="H1409" t="str">
            <v>외국인</v>
          </cell>
          <cell r="I1409" t="str">
            <v>ABDULLAH BIN MOHAMAD</v>
          </cell>
          <cell r="J1409" t="str">
            <v>용역</v>
          </cell>
          <cell r="K1409" t="str">
            <v>코스카인력</v>
          </cell>
          <cell r="O1409">
            <v>43885</v>
          </cell>
          <cell r="R1409">
            <v>46055</v>
          </cell>
          <cell r="S1409">
            <v>46055</v>
          </cell>
          <cell r="T1409">
            <v>46055</v>
          </cell>
          <cell r="U1409" t="str">
            <v>H52852949</v>
          </cell>
          <cell r="V1409" t="str">
            <v>보통인부</v>
          </cell>
          <cell r="W1409" t="str">
            <v>말레이시아</v>
          </cell>
        </row>
        <row r="1410">
          <cell r="A1410" t="str">
            <v>왕징량</v>
          </cell>
          <cell r="C1410" t="str">
            <v>711124-5</v>
          </cell>
          <cell r="D1410" t="str">
            <v>010-2761-8799</v>
          </cell>
          <cell r="E1410">
            <v>170000</v>
          </cell>
          <cell r="F1410" t="str">
            <v>남</v>
          </cell>
          <cell r="G1410">
            <v>56</v>
          </cell>
          <cell r="H1410" t="str">
            <v>외국인</v>
          </cell>
          <cell r="I1410" t="str">
            <v>WANG JINGLIANG</v>
          </cell>
          <cell r="J1410" t="str">
            <v>용역</v>
          </cell>
          <cell r="K1410" t="str">
            <v>코스카인력</v>
          </cell>
          <cell r="O1410">
            <v>44274</v>
          </cell>
          <cell r="R1410">
            <v>46055</v>
          </cell>
          <cell r="S1410">
            <v>46055</v>
          </cell>
          <cell r="T1410">
            <v>46055</v>
          </cell>
          <cell r="U1410" t="str">
            <v>EK9989974</v>
          </cell>
          <cell r="W1410" t="str">
            <v>중국</v>
          </cell>
        </row>
        <row r="1411">
          <cell r="A1411" t="str">
            <v>왕쉬민</v>
          </cell>
          <cell r="C1411" t="str">
            <v>680816-5</v>
          </cell>
          <cell r="D1411" t="str">
            <v>010-2922-2719</v>
          </cell>
          <cell r="E1411">
            <v>170000</v>
          </cell>
          <cell r="F1411" t="str">
            <v>남</v>
          </cell>
          <cell r="G1411">
            <v>59</v>
          </cell>
          <cell r="H1411" t="str">
            <v>외국인</v>
          </cell>
          <cell r="I1411" t="str">
            <v>WANG XUMIN</v>
          </cell>
          <cell r="J1411" t="str">
            <v>용역</v>
          </cell>
          <cell r="K1411" t="str">
            <v>코스카인력</v>
          </cell>
          <cell r="O1411">
            <v>44987</v>
          </cell>
          <cell r="R1411">
            <v>46055</v>
          </cell>
          <cell r="S1411">
            <v>46055</v>
          </cell>
          <cell r="T1411">
            <v>46055</v>
          </cell>
          <cell r="U1411" t="str">
            <v>EJ8316906</v>
          </cell>
          <cell r="W1411" t="str">
            <v>중국</v>
          </cell>
        </row>
        <row r="1412">
          <cell r="A1412" t="str">
            <v>강토</v>
          </cell>
          <cell r="C1412" t="str">
            <v>630306-5</v>
          </cell>
          <cell r="D1412" t="str">
            <v>010-3039-8836</v>
          </cell>
          <cell r="E1412">
            <v>170000</v>
          </cell>
          <cell r="F1412" t="str">
            <v>남</v>
          </cell>
          <cell r="G1412">
            <v>64</v>
          </cell>
          <cell r="H1412" t="str">
            <v>외국인</v>
          </cell>
          <cell r="I1412" t="str">
            <v>JIANG XINGTAO</v>
          </cell>
          <cell r="J1412" t="str">
            <v>용역</v>
          </cell>
          <cell r="K1412" t="str">
            <v>코스카인력</v>
          </cell>
          <cell r="O1412">
            <v>44613</v>
          </cell>
          <cell r="R1412">
            <v>46055</v>
          </cell>
          <cell r="S1412">
            <v>46055</v>
          </cell>
          <cell r="T1412">
            <v>46055</v>
          </cell>
          <cell r="U1412" t="str">
            <v>EL3264294</v>
          </cell>
          <cell r="W1412" t="str">
            <v>중국</v>
          </cell>
        </row>
        <row r="1413">
          <cell r="A1413" t="str">
            <v>교월</v>
          </cell>
          <cell r="C1413" t="str">
            <v>020303-6</v>
          </cell>
          <cell r="D1413" t="str">
            <v>010-2151-1868</v>
          </cell>
          <cell r="E1413">
            <v>170000</v>
          </cell>
          <cell r="F1413" t="str">
            <v>여</v>
          </cell>
          <cell r="G1413">
            <v>25</v>
          </cell>
          <cell r="H1413" t="str">
            <v>외국인</v>
          </cell>
          <cell r="I1413" t="str">
            <v>QIAO YUE</v>
          </cell>
          <cell r="J1413" t="str">
            <v>용역</v>
          </cell>
          <cell r="K1413" t="str">
            <v>코스카인력</v>
          </cell>
          <cell r="O1413">
            <v>45811</v>
          </cell>
          <cell r="R1413">
            <v>46055</v>
          </cell>
          <cell r="S1413">
            <v>46055</v>
          </cell>
          <cell r="T1413">
            <v>46055</v>
          </cell>
          <cell r="U1413" t="str">
            <v>EJ7926209</v>
          </cell>
          <cell r="W1413" t="str">
            <v>중국</v>
          </cell>
        </row>
        <row r="1414">
          <cell r="A1414" t="str">
            <v>키이룰</v>
          </cell>
          <cell r="C1414" t="str">
            <v>000507-5</v>
          </cell>
          <cell r="D1414" t="str">
            <v>010-6798-6650</v>
          </cell>
          <cell r="E1414">
            <v>170000</v>
          </cell>
          <cell r="F1414" t="str">
            <v>남</v>
          </cell>
          <cell r="G1414">
            <v>27</v>
          </cell>
          <cell r="H1414" t="str">
            <v>외국인</v>
          </cell>
          <cell r="I1414" t="str">
            <v>MOHD KAIRUL BIN MOHD SALLEH</v>
          </cell>
          <cell r="J1414" t="str">
            <v>용역</v>
          </cell>
          <cell r="K1414" t="str">
            <v>코스카인력</v>
          </cell>
          <cell r="O1414">
            <v>43872</v>
          </cell>
          <cell r="R1414">
            <v>46055</v>
          </cell>
          <cell r="S1414">
            <v>46055</v>
          </cell>
          <cell r="T1414">
            <v>46055</v>
          </cell>
          <cell r="U1414" t="str">
            <v>H61361082</v>
          </cell>
          <cell r="W1414" t="str">
            <v>말레이시아</v>
          </cell>
        </row>
        <row r="1415">
          <cell r="A1415" t="str">
            <v>픽트리</v>
          </cell>
          <cell r="C1415" t="str">
            <v>000525-5</v>
          </cell>
          <cell r="D1415" t="str">
            <v>010-7215-2833</v>
          </cell>
          <cell r="E1415">
            <v>170000</v>
          </cell>
          <cell r="F1415" t="str">
            <v>남</v>
          </cell>
          <cell r="G1415">
            <v>27</v>
          </cell>
          <cell r="H1415" t="str">
            <v>외국인</v>
          </cell>
          <cell r="I1415" t="str">
            <v>MOHD FIQRIE BIN NEIN</v>
          </cell>
          <cell r="J1415" t="str">
            <v>용역</v>
          </cell>
          <cell r="K1415" t="str">
            <v>코스카인력</v>
          </cell>
          <cell r="O1415">
            <v>45085</v>
          </cell>
          <cell r="R1415">
            <v>46055</v>
          </cell>
          <cell r="S1415">
            <v>46055</v>
          </cell>
          <cell r="T1415">
            <v>46055</v>
          </cell>
          <cell r="U1415" t="str">
            <v>H56477205</v>
          </cell>
          <cell r="W1415" t="str">
            <v>말레이시아</v>
          </cell>
        </row>
        <row r="1416">
          <cell r="A1416" t="str">
            <v>후사이옌</v>
          </cell>
          <cell r="C1416" t="str">
            <v>000720-5</v>
          </cell>
          <cell r="E1416">
            <v>170000</v>
          </cell>
          <cell r="F1416" t="str">
            <v>남</v>
          </cell>
          <cell r="G1416">
            <v>27</v>
          </cell>
          <cell r="H1416" t="str">
            <v>외국인</v>
          </cell>
          <cell r="I1416" t="str">
            <v>HUSAIEN BIN MOHD ZABIR</v>
          </cell>
          <cell r="J1416" t="str">
            <v>용역</v>
          </cell>
          <cell r="K1416" t="str">
            <v>코스카인력</v>
          </cell>
          <cell r="O1416">
            <v>44036</v>
          </cell>
          <cell r="R1416">
            <v>46055</v>
          </cell>
          <cell r="S1416">
            <v>46055</v>
          </cell>
          <cell r="T1416">
            <v>46055</v>
          </cell>
          <cell r="U1416" t="str">
            <v>H58322366</v>
          </cell>
          <cell r="W1416" t="str">
            <v>말레이시아</v>
          </cell>
        </row>
        <row r="1417">
          <cell r="F1417" t="str">
            <v/>
          </cell>
          <cell r="G1417" t="str">
            <v/>
          </cell>
          <cell r="H1417" t="str">
            <v/>
          </cell>
          <cell r="Q1417" t="str">
            <v/>
          </cell>
        </row>
        <row r="1418">
          <cell r="F1418" t="str">
            <v/>
          </cell>
          <cell r="G1418" t="str">
            <v/>
          </cell>
          <cell r="H1418" t="str">
            <v/>
          </cell>
          <cell r="Q1418" t="str">
            <v/>
          </cell>
        </row>
        <row r="1419">
          <cell r="F1419" t="str">
            <v/>
          </cell>
          <cell r="G1419" t="str">
            <v/>
          </cell>
          <cell r="H1419" t="str">
            <v/>
          </cell>
          <cell r="Q1419" t="str">
            <v/>
          </cell>
        </row>
        <row r="1420">
          <cell r="F1420" t="str">
            <v/>
          </cell>
          <cell r="G1420" t="str">
            <v/>
          </cell>
          <cell r="H1420" t="str">
            <v/>
          </cell>
          <cell r="Q1420" t="str">
            <v/>
          </cell>
        </row>
        <row r="1421">
          <cell r="A1421" t="str">
            <v>123인력</v>
          </cell>
          <cell r="F1421" t="str">
            <v/>
          </cell>
          <cell r="G1421" t="str">
            <v/>
          </cell>
          <cell r="H1421" t="str">
            <v/>
          </cell>
          <cell r="Q1421" t="str">
            <v/>
          </cell>
        </row>
        <row r="1422">
          <cell r="A1422" t="str">
            <v>진상범</v>
          </cell>
          <cell r="B1422" t="str">
            <v>강원 원주시 단구로250 106-202</v>
          </cell>
          <cell r="C1422" t="str">
            <v>620611-1267711</v>
          </cell>
          <cell r="D1422" t="str">
            <v>010-8527-8437</v>
          </cell>
          <cell r="E1422">
            <v>170000</v>
          </cell>
          <cell r="F1422" t="str">
            <v>남</v>
          </cell>
          <cell r="G1422">
            <v>65</v>
          </cell>
          <cell r="H1422" t="str">
            <v>-</v>
          </cell>
          <cell r="J1422" t="str">
            <v>용역</v>
          </cell>
          <cell r="K1422" t="str">
            <v>정리</v>
          </cell>
          <cell r="Q1422" t="str">
            <v/>
          </cell>
          <cell r="R1422">
            <v>46074</v>
          </cell>
          <cell r="S1422">
            <v>46074</v>
          </cell>
          <cell r="T1422">
            <v>46074</v>
          </cell>
          <cell r="V1422" t="str">
            <v>형틀목공</v>
          </cell>
        </row>
        <row r="1423">
          <cell r="A1423" t="str">
            <v>유돈호</v>
          </cell>
          <cell r="B1423" t="str">
            <v>강원 원주 학성길 46, 101-502</v>
          </cell>
          <cell r="C1423" t="str">
            <v>780808-1327010</v>
          </cell>
          <cell r="D1423" t="str">
            <v>010-3029-2266</v>
          </cell>
          <cell r="E1423">
            <v>170000</v>
          </cell>
          <cell r="F1423" t="str">
            <v>남</v>
          </cell>
          <cell r="G1423">
            <v>49</v>
          </cell>
          <cell r="H1423" t="str">
            <v>-</v>
          </cell>
          <cell r="J1423" t="str">
            <v>용역</v>
          </cell>
          <cell r="K1423" t="str">
            <v>정리</v>
          </cell>
          <cell r="O1423">
            <v>42636</v>
          </cell>
          <cell r="R1423">
            <v>46074</v>
          </cell>
          <cell r="S1423">
            <v>46074</v>
          </cell>
          <cell r="T1423">
            <v>46074</v>
          </cell>
          <cell r="V1423" t="str">
            <v>형틀목공</v>
          </cell>
        </row>
        <row r="1424">
          <cell r="A1424" t="str">
            <v>김정호76</v>
          </cell>
          <cell r="B1424" t="str">
            <v>강원 태백시 짐대배기2길 44</v>
          </cell>
          <cell r="C1424" t="str">
            <v>760523-1348013</v>
          </cell>
          <cell r="D1424" t="str">
            <v>010-9069-1488</v>
          </cell>
          <cell r="E1424">
            <v>170000</v>
          </cell>
          <cell r="F1424" t="str">
            <v>남</v>
          </cell>
          <cell r="G1424">
            <v>51</v>
          </cell>
          <cell r="H1424" t="str">
            <v>-</v>
          </cell>
          <cell r="J1424" t="str">
            <v>용역</v>
          </cell>
          <cell r="K1424" t="str">
            <v>정리</v>
          </cell>
          <cell r="O1424">
            <v>42906</v>
          </cell>
          <cell r="R1424">
            <v>46074</v>
          </cell>
          <cell r="S1424">
            <v>46074</v>
          </cell>
          <cell r="T1424">
            <v>46074</v>
          </cell>
          <cell r="V1424" t="str">
            <v>형틀목공</v>
          </cell>
        </row>
        <row r="1425">
          <cell r="A1425" t="str">
            <v>권영찬</v>
          </cell>
          <cell r="B1425" t="str">
            <v>강원 원주시 귀래면 배골길 17</v>
          </cell>
          <cell r="C1425" t="str">
            <v>650903-1002318</v>
          </cell>
          <cell r="D1425" t="str">
            <v>010-5706-9207</v>
          </cell>
          <cell r="E1425">
            <v>170000</v>
          </cell>
          <cell r="F1425" t="str">
            <v>남</v>
          </cell>
          <cell r="G1425">
            <v>62</v>
          </cell>
          <cell r="H1425" t="str">
            <v>-</v>
          </cell>
          <cell r="J1425" t="str">
            <v>용역</v>
          </cell>
          <cell r="K1425" t="str">
            <v>정리</v>
          </cell>
          <cell r="O1425">
            <v>41906</v>
          </cell>
          <cell r="R1425">
            <v>46076</v>
          </cell>
          <cell r="S1425">
            <v>46076</v>
          </cell>
          <cell r="T1425">
            <v>46076</v>
          </cell>
          <cell r="V1425" t="str">
            <v>형틀목공</v>
          </cell>
        </row>
        <row r="1426">
          <cell r="A1426" t="str">
            <v>김시영</v>
          </cell>
          <cell r="B1426" t="str">
            <v>원주 우산동  모란1길 86 한라내빌리105-101</v>
          </cell>
          <cell r="C1426" t="str">
            <v>640115-1345436</v>
          </cell>
          <cell r="D1426" t="str">
            <v>010-2439-3332</v>
          </cell>
          <cell r="E1426">
            <v>170000</v>
          </cell>
          <cell r="F1426" t="str">
            <v>남</v>
          </cell>
          <cell r="G1426">
            <v>63</v>
          </cell>
          <cell r="H1426" t="str">
            <v>-</v>
          </cell>
          <cell r="J1426" t="str">
            <v>용역</v>
          </cell>
          <cell r="K1426" t="str">
            <v>정리</v>
          </cell>
          <cell r="O1426">
            <v>43682</v>
          </cell>
          <cell r="R1426">
            <v>46076</v>
          </cell>
          <cell r="S1426">
            <v>46076</v>
          </cell>
          <cell r="T1426">
            <v>46076</v>
          </cell>
          <cell r="V1426" t="str">
            <v>형틀목공</v>
          </cell>
        </row>
        <row r="1427">
          <cell r="A1427" t="str">
            <v>한예도</v>
          </cell>
          <cell r="B1427" t="str">
            <v>강원 원주 귀론길 13-16, 1동 3층 202호</v>
          </cell>
          <cell r="C1427" t="str">
            <v>991210-1324416</v>
          </cell>
          <cell r="D1427" t="str">
            <v>010-9300-2372</v>
          </cell>
          <cell r="E1427">
            <v>170000</v>
          </cell>
          <cell r="F1427" t="str">
            <v>남</v>
          </cell>
          <cell r="G1427">
            <v>28</v>
          </cell>
          <cell r="H1427" t="str">
            <v>-</v>
          </cell>
          <cell r="J1427" t="str">
            <v>용역</v>
          </cell>
          <cell r="K1427" t="str">
            <v>정리</v>
          </cell>
          <cell r="O1427">
            <v>45026</v>
          </cell>
          <cell r="R1427">
            <v>46076</v>
          </cell>
          <cell r="S1427">
            <v>46076</v>
          </cell>
          <cell r="T1427">
            <v>46076</v>
          </cell>
          <cell r="V1427" t="str">
            <v>형틀목공</v>
          </cell>
        </row>
        <row r="1428">
          <cell r="A1428" t="str">
            <v>조영주</v>
          </cell>
          <cell r="B1428" t="str">
            <v>강원 원주시 동진골2길 55-2, 101호</v>
          </cell>
          <cell r="C1428" t="str">
            <v>690322-1268615</v>
          </cell>
          <cell r="D1428" t="str">
            <v>010-9004-5911</v>
          </cell>
          <cell r="E1428">
            <v>170000</v>
          </cell>
          <cell r="F1428" t="str">
            <v>남</v>
          </cell>
          <cell r="G1428">
            <v>58</v>
          </cell>
          <cell r="H1428" t="str">
            <v>-</v>
          </cell>
          <cell r="J1428" t="str">
            <v>용역</v>
          </cell>
          <cell r="K1428" t="str">
            <v>정리</v>
          </cell>
          <cell r="O1428">
            <v>43906</v>
          </cell>
          <cell r="Q1428" t="str">
            <v/>
          </cell>
          <cell r="R1428">
            <v>46079</v>
          </cell>
          <cell r="S1428">
            <v>46079</v>
          </cell>
          <cell r="T1428">
            <v>46079</v>
          </cell>
          <cell r="V1428" t="str">
            <v>형틀목공</v>
          </cell>
        </row>
        <row r="1429">
          <cell r="A1429" t="str">
            <v>김금규</v>
          </cell>
          <cell r="B1429" t="str">
            <v>강원 원주 화실유암길 119</v>
          </cell>
          <cell r="C1429" t="str">
            <v>630708-1268616</v>
          </cell>
          <cell r="D1429" t="str">
            <v>010-4265-3526</v>
          </cell>
          <cell r="E1429">
            <v>170000</v>
          </cell>
          <cell r="F1429" t="str">
            <v>남</v>
          </cell>
          <cell r="G1429">
            <v>64</v>
          </cell>
          <cell r="H1429" t="str">
            <v>-</v>
          </cell>
          <cell r="J1429" t="str">
            <v>용역</v>
          </cell>
          <cell r="K1429" t="str">
            <v>정리</v>
          </cell>
          <cell r="O1429">
            <v>41313</v>
          </cell>
          <cell r="R1429">
            <v>46076</v>
          </cell>
          <cell r="S1429">
            <v>46076</v>
          </cell>
          <cell r="T1429">
            <v>46076</v>
          </cell>
          <cell r="V1429" t="str">
            <v>형틀목공</v>
          </cell>
        </row>
        <row r="1430">
          <cell r="A1430" t="str">
            <v>김성용용</v>
          </cell>
          <cell r="B1430" t="str">
            <v>강원 원주 흥양로51번길16 301-905</v>
          </cell>
          <cell r="C1430" t="str">
            <v>690120-1917312</v>
          </cell>
          <cell r="D1430" t="str">
            <v>010-8942-7112</v>
          </cell>
          <cell r="E1430">
            <v>170000</v>
          </cell>
          <cell r="F1430" t="str">
            <v>남</v>
          </cell>
          <cell r="G1430">
            <v>58</v>
          </cell>
          <cell r="H1430" t="str">
            <v>-</v>
          </cell>
          <cell r="J1430" t="str">
            <v>용역</v>
          </cell>
          <cell r="K1430" t="str">
            <v>정리</v>
          </cell>
          <cell r="L1430" t="str">
            <v>1010-2735-4600</v>
          </cell>
          <cell r="M1430" t="str">
            <v>수협은행</v>
          </cell>
          <cell r="N1430" t="str">
            <v>(주)우민이엔지</v>
          </cell>
          <cell r="O1430">
            <v>45125</v>
          </cell>
          <cell r="R1430">
            <v>46118</v>
          </cell>
          <cell r="S1430">
            <v>46118</v>
          </cell>
          <cell r="T1430">
            <v>46118</v>
          </cell>
          <cell r="V1430" t="str">
            <v>형틀목공</v>
          </cell>
        </row>
        <row r="1431">
          <cell r="A1431" t="str">
            <v>김요한</v>
          </cell>
          <cell r="B1431" t="str">
            <v>강원 원주 오리현안길 25</v>
          </cell>
          <cell r="C1431" t="str">
            <v>691114-1394418</v>
          </cell>
          <cell r="D1431" t="str">
            <v>010-6502-9975</v>
          </cell>
          <cell r="E1431">
            <v>170000</v>
          </cell>
          <cell r="F1431" t="str">
            <v>남</v>
          </cell>
          <cell r="G1431">
            <v>58</v>
          </cell>
          <cell r="H1431" t="str">
            <v>-</v>
          </cell>
          <cell r="J1431" t="str">
            <v>용역</v>
          </cell>
          <cell r="K1431" t="str">
            <v>정리</v>
          </cell>
          <cell r="L1431" t="str">
            <v>1010-2735-4600</v>
          </cell>
          <cell r="M1431" t="str">
            <v>수협은행</v>
          </cell>
          <cell r="N1431" t="str">
            <v>(주)우민이엔지</v>
          </cell>
          <cell r="O1431">
            <v>41548</v>
          </cell>
          <cell r="R1431">
            <v>46135</v>
          </cell>
          <cell r="S1431">
            <v>46135</v>
          </cell>
          <cell r="T1431">
            <v>46135</v>
          </cell>
          <cell r="V1431" t="str">
            <v>형틀목공</v>
          </cell>
        </row>
        <row r="1432">
          <cell r="A1432" t="str">
            <v>김삼영</v>
          </cell>
          <cell r="B1432" t="str">
            <v>강원 평창군 진부면 석두산1길 21-7</v>
          </cell>
          <cell r="C1432" t="str">
            <v>690206-1331216</v>
          </cell>
          <cell r="D1432" t="str">
            <v>010-7282-5642</v>
          </cell>
          <cell r="E1432">
            <v>170000</v>
          </cell>
          <cell r="F1432" t="str">
            <v>남</v>
          </cell>
          <cell r="G1432">
            <v>58</v>
          </cell>
          <cell r="H1432" t="str">
            <v>-</v>
          </cell>
          <cell r="J1432" t="str">
            <v>용역</v>
          </cell>
          <cell r="K1432" t="str">
            <v>정리</v>
          </cell>
          <cell r="L1432" t="str">
            <v>1010-2735-4600</v>
          </cell>
          <cell r="M1432" t="str">
            <v>수협은행</v>
          </cell>
          <cell r="N1432" t="str">
            <v>(주)우민이엔지</v>
          </cell>
          <cell r="O1432">
            <v>42415</v>
          </cell>
          <cell r="R1432">
            <v>46154</v>
          </cell>
          <cell r="S1432">
            <v>46154</v>
          </cell>
          <cell r="T1432">
            <v>46154</v>
          </cell>
          <cell r="V1432" t="str">
            <v>형틀목공</v>
          </cell>
        </row>
        <row r="1433">
          <cell r="A1433" t="str">
            <v>엄준식</v>
          </cell>
          <cell r="B1433" t="str">
            <v>강원 원주 단관초교길 30 204호</v>
          </cell>
          <cell r="C1433" t="str">
            <v>910202-1268227</v>
          </cell>
          <cell r="D1433" t="str">
            <v>010-8856-6567</v>
          </cell>
          <cell r="E1433">
            <v>170000</v>
          </cell>
          <cell r="F1433" t="str">
            <v>남</v>
          </cell>
          <cell r="G1433">
            <v>36</v>
          </cell>
          <cell r="H1433" t="str">
            <v>-</v>
          </cell>
          <cell r="J1433" t="str">
            <v>용역</v>
          </cell>
          <cell r="K1433" t="str">
            <v>정리</v>
          </cell>
          <cell r="L1433" t="str">
            <v>1010-2735-4600</v>
          </cell>
          <cell r="M1433" t="str">
            <v>수협은행</v>
          </cell>
          <cell r="N1433" t="str">
            <v>(주)우민이엔지</v>
          </cell>
          <cell r="O1433">
            <v>46155</v>
          </cell>
          <cell r="R1433">
            <v>46156</v>
          </cell>
          <cell r="S1433">
            <v>46156</v>
          </cell>
          <cell r="T1433">
            <v>46156</v>
          </cell>
        </row>
        <row r="1434">
          <cell r="A1434" t="str">
            <v>이동현</v>
          </cell>
          <cell r="B1434" t="str">
            <v>강원 원주 서원대로 205, 16-104</v>
          </cell>
          <cell r="C1434" t="str">
            <v>740302-1267813</v>
          </cell>
          <cell r="D1434" t="str">
            <v>010-4080-5679</v>
          </cell>
          <cell r="E1434">
            <v>170000</v>
          </cell>
          <cell r="F1434" t="str">
            <v>남</v>
          </cell>
          <cell r="G1434">
            <v>53</v>
          </cell>
          <cell r="H1434" t="str">
            <v>-</v>
          </cell>
          <cell r="J1434" t="str">
            <v>용역</v>
          </cell>
          <cell r="K1434" t="str">
            <v>정리</v>
          </cell>
          <cell r="L1434" t="str">
            <v>1010-2735-4600</v>
          </cell>
          <cell r="M1434" t="str">
            <v>수협은행</v>
          </cell>
          <cell r="N1434" t="str">
            <v>(주)우민이엔지</v>
          </cell>
          <cell r="O1434">
            <v>45581</v>
          </cell>
          <cell r="R1434">
            <v>46149</v>
          </cell>
          <cell r="S1434">
            <v>46149</v>
          </cell>
          <cell r="T1434">
            <v>46149</v>
          </cell>
          <cell r="V1434" t="str">
            <v>형틀목공</v>
          </cell>
        </row>
        <row r="1435">
          <cell r="F1435" t="str">
            <v/>
          </cell>
          <cell r="G1435" t="str">
            <v/>
          </cell>
          <cell r="H1435" t="str">
            <v/>
          </cell>
          <cell r="Q1435" t="str">
            <v/>
          </cell>
        </row>
        <row r="1436">
          <cell r="F1436" t="str">
            <v/>
          </cell>
          <cell r="G1436" t="str">
            <v/>
          </cell>
          <cell r="H1436" t="str">
            <v/>
          </cell>
          <cell r="Q1436" t="str">
            <v/>
          </cell>
        </row>
        <row r="1437">
          <cell r="F1437" t="str">
            <v/>
          </cell>
          <cell r="G1437" t="str">
            <v/>
          </cell>
          <cell r="H1437" t="str">
            <v/>
          </cell>
          <cell r="Q1437" t="str">
            <v/>
          </cell>
        </row>
        <row r="1438">
          <cell r="F1438" t="str">
            <v/>
          </cell>
          <cell r="G1438" t="str">
            <v/>
          </cell>
          <cell r="H1438" t="str">
            <v/>
          </cell>
          <cell r="Q1438" t="str">
            <v/>
          </cell>
        </row>
        <row r="1439">
          <cell r="F1439" t="str">
            <v/>
          </cell>
          <cell r="G1439" t="str">
            <v/>
          </cell>
          <cell r="H1439" t="str">
            <v/>
          </cell>
          <cell r="Q1439" t="str">
            <v/>
          </cell>
        </row>
        <row r="1440">
          <cell r="F1440" t="str">
            <v/>
          </cell>
          <cell r="G1440" t="str">
            <v/>
          </cell>
          <cell r="H1440" t="str">
            <v/>
          </cell>
          <cell r="Q1440" t="str">
            <v/>
          </cell>
        </row>
        <row r="1441">
          <cell r="F1441" t="str">
            <v/>
          </cell>
          <cell r="G1441" t="str">
            <v/>
          </cell>
          <cell r="H1441" t="str">
            <v/>
          </cell>
          <cell r="Q1441" t="str">
            <v/>
          </cell>
        </row>
        <row r="1442">
          <cell r="F1442" t="str">
            <v/>
          </cell>
          <cell r="G1442" t="str">
            <v/>
          </cell>
          <cell r="H1442" t="str">
            <v/>
          </cell>
          <cell r="Q1442" t="str">
            <v/>
          </cell>
        </row>
        <row r="1443">
          <cell r="F1443" t="str">
            <v/>
          </cell>
          <cell r="G1443" t="str">
            <v/>
          </cell>
          <cell r="H1443" t="str">
            <v/>
          </cell>
          <cell r="Q1443" t="str">
            <v/>
          </cell>
        </row>
        <row r="1444">
          <cell r="F1444" t="str">
            <v/>
          </cell>
          <cell r="G1444" t="str">
            <v/>
          </cell>
          <cell r="H1444" t="str">
            <v/>
          </cell>
          <cell r="Q1444" t="str">
            <v/>
          </cell>
        </row>
        <row r="1445">
          <cell r="F1445" t="str">
            <v/>
          </cell>
          <cell r="G1445" t="str">
            <v/>
          </cell>
          <cell r="H1445" t="str">
            <v/>
          </cell>
          <cell r="Q1445" t="str">
            <v/>
          </cell>
        </row>
        <row r="1446">
          <cell r="F1446" t="str">
            <v/>
          </cell>
          <cell r="G1446" t="str">
            <v/>
          </cell>
          <cell r="H1446" t="str">
            <v/>
          </cell>
          <cell r="Q1446" t="str">
            <v/>
          </cell>
        </row>
        <row r="1447">
          <cell r="F1447" t="str">
            <v/>
          </cell>
          <cell r="G1447" t="str">
            <v/>
          </cell>
          <cell r="H1447" t="str">
            <v/>
          </cell>
          <cell r="Q1447" t="str">
            <v/>
          </cell>
        </row>
        <row r="1448">
          <cell r="F1448" t="str">
            <v/>
          </cell>
          <cell r="G1448" t="str">
            <v/>
          </cell>
          <cell r="H1448" t="str">
            <v/>
          </cell>
          <cell r="Q1448" t="str">
            <v/>
          </cell>
        </row>
        <row r="1449">
          <cell r="F1449" t="str">
            <v/>
          </cell>
          <cell r="G1449" t="str">
            <v/>
          </cell>
          <cell r="H1449" t="str">
            <v/>
          </cell>
          <cell r="Q1449" t="str">
            <v/>
          </cell>
        </row>
        <row r="1450">
          <cell r="F1450" t="str">
            <v/>
          </cell>
          <cell r="G1450" t="str">
            <v/>
          </cell>
          <cell r="H1450" t="str">
            <v/>
          </cell>
          <cell r="Q1450" t="str">
            <v/>
          </cell>
        </row>
        <row r="1451">
          <cell r="F1451" t="str">
            <v/>
          </cell>
          <cell r="G1451" t="str">
            <v/>
          </cell>
          <cell r="H1451" t="str">
            <v/>
          </cell>
          <cell r="Q1451" t="str">
            <v/>
          </cell>
        </row>
        <row r="1452">
          <cell r="F1452" t="str">
            <v/>
          </cell>
          <cell r="G1452" t="str">
            <v/>
          </cell>
          <cell r="H1452" t="str">
            <v/>
          </cell>
          <cell r="Q1452" t="str">
            <v/>
          </cell>
        </row>
        <row r="1453">
          <cell r="F1453" t="str">
            <v/>
          </cell>
          <cell r="G1453" t="str">
            <v/>
          </cell>
          <cell r="H1453" t="str">
            <v/>
          </cell>
          <cell r="Q1453" t="str">
            <v/>
          </cell>
        </row>
        <row r="1454">
          <cell r="F1454" t="str">
            <v/>
          </cell>
          <cell r="G1454" t="str">
            <v/>
          </cell>
          <cell r="H1454" t="str">
            <v/>
          </cell>
          <cell r="Q1454" t="str">
            <v/>
          </cell>
        </row>
        <row r="1455">
          <cell r="F1455" t="str">
            <v/>
          </cell>
          <cell r="G1455" t="str">
            <v/>
          </cell>
          <cell r="H1455" t="str">
            <v/>
          </cell>
          <cell r="Q1455" t="str">
            <v/>
          </cell>
        </row>
        <row r="1456">
          <cell r="F1456" t="str">
            <v/>
          </cell>
          <cell r="G1456" t="str">
            <v/>
          </cell>
          <cell r="H1456" t="str">
            <v/>
          </cell>
          <cell r="Q1456" t="str">
            <v/>
          </cell>
        </row>
        <row r="1457">
          <cell r="F1457" t="str">
            <v/>
          </cell>
          <cell r="G1457" t="str">
            <v/>
          </cell>
          <cell r="H1457" t="str">
            <v/>
          </cell>
          <cell r="Q1457" t="str">
            <v/>
          </cell>
        </row>
        <row r="1458">
          <cell r="F1458" t="str">
            <v/>
          </cell>
          <cell r="G1458" t="str">
            <v/>
          </cell>
          <cell r="H1458" t="str">
            <v/>
          </cell>
          <cell r="Q1458" t="str">
            <v/>
          </cell>
        </row>
        <row r="1459">
          <cell r="F1459" t="str">
            <v/>
          </cell>
          <cell r="G1459" t="str">
            <v/>
          </cell>
          <cell r="H1459" t="str">
            <v/>
          </cell>
          <cell r="Q1459" t="str">
            <v/>
          </cell>
        </row>
        <row r="1460">
          <cell r="F1460" t="str">
            <v/>
          </cell>
          <cell r="G1460" t="str">
            <v/>
          </cell>
          <cell r="H1460" t="str">
            <v/>
          </cell>
          <cell r="Q1460" t="str">
            <v/>
          </cell>
        </row>
        <row r="1461">
          <cell r="F1461" t="str">
            <v/>
          </cell>
          <cell r="G1461" t="str">
            <v/>
          </cell>
          <cell r="H1461" t="str">
            <v/>
          </cell>
          <cell r="Q1461" t="str">
            <v/>
          </cell>
        </row>
        <row r="1462">
          <cell r="F1462" t="str">
            <v/>
          </cell>
          <cell r="G1462" t="str">
            <v/>
          </cell>
          <cell r="H1462" t="str">
            <v/>
          </cell>
          <cell r="Q1462" t="str">
            <v/>
          </cell>
        </row>
        <row r="1463">
          <cell r="F1463" t="str">
            <v/>
          </cell>
          <cell r="G1463" t="str">
            <v/>
          </cell>
          <cell r="H1463" t="str">
            <v/>
          </cell>
          <cell r="Q1463" t="str">
            <v/>
          </cell>
        </row>
        <row r="1464">
          <cell r="F1464" t="str">
            <v/>
          </cell>
          <cell r="G1464" t="str">
            <v/>
          </cell>
          <cell r="H1464" t="str">
            <v/>
          </cell>
          <cell r="Q1464" t="str">
            <v/>
          </cell>
        </row>
        <row r="1465">
          <cell r="F1465" t="str">
            <v/>
          </cell>
          <cell r="G1465" t="str">
            <v/>
          </cell>
          <cell r="H1465" t="str">
            <v/>
          </cell>
          <cell r="Q1465" t="str">
            <v/>
          </cell>
        </row>
        <row r="1466">
          <cell r="F1466" t="str">
            <v/>
          </cell>
          <cell r="G1466" t="str">
            <v/>
          </cell>
          <cell r="H1466" t="str">
            <v/>
          </cell>
          <cell r="Q1466" t="str">
            <v/>
          </cell>
        </row>
        <row r="1467">
          <cell r="F1467" t="str">
            <v/>
          </cell>
          <cell r="G1467" t="str">
            <v/>
          </cell>
          <cell r="H1467" t="str">
            <v/>
          </cell>
          <cell r="Q1467" t="str">
            <v/>
          </cell>
        </row>
        <row r="1468">
          <cell r="F1468" t="str">
            <v/>
          </cell>
          <cell r="G1468" t="str">
            <v/>
          </cell>
          <cell r="H1468" t="str">
            <v/>
          </cell>
          <cell r="Q1468" t="str">
            <v/>
          </cell>
        </row>
        <row r="1469">
          <cell r="F1469" t="str">
            <v/>
          </cell>
          <cell r="G1469" t="str">
            <v/>
          </cell>
          <cell r="H1469" t="str">
            <v/>
          </cell>
          <cell r="Q1469" t="str">
            <v/>
          </cell>
        </row>
        <row r="1470">
          <cell r="F1470" t="str">
            <v/>
          </cell>
          <cell r="G1470" t="str">
            <v/>
          </cell>
          <cell r="H1470" t="str">
            <v/>
          </cell>
          <cell r="Q1470" t="str">
            <v/>
          </cell>
        </row>
        <row r="1471">
          <cell r="F1471" t="str">
            <v/>
          </cell>
          <cell r="G1471" t="str">
            <v/>
          </cell>
          <cell r="H1471" t="str">
            <v/>
          </cell>
          <cell r="Q1471" t="str">
            <v/>
          </cell>
        </row>
        <row r="1472">
          <cell r="F1472" t="str">
            <v/>
          </cell>
          <cell r="G1472" t="str">
            <v/>
          </cell>
          <cell r="H1472" t="str">
            <v/>
          </cell>
          <cell r="Q1472" t="str">
            <v/>
          </cell>
        </row>
        <row r="1473">
          <cell r="F1473" t="str">
            <v/>
          </cell>
          <cell r="G1473" t="str">
            <v/>
          </cell>
          <cell r="H1473" t="str">
            <v/>
          </cell>
          <cell r="Q1473" t="str">
            <v/>
          </cell>
        </row>
        <row r="1474">
          <cell r="F1474" t="str">
            <v/>
          </cell>
          <cell r="G1474" t="str">
            <v/>
          </cell>
          <cell r="H1474" t="str">
            <v/>
          </cell>
          <cell r="Q1474" t="str">
            <v/>
          </cell>
        </row>
        <row r="1475">
          <cell r="F1475" t="str">
            <v/>
          </cell>
          <cell r="G1475" t="str">
            <v/>
          </cell>
          <cell r="H1475" t="str">
            <v/>
          </cell>
          <cell r="Q1475" t="str">
            <v/>
          </cell>
        </row>
        <row r="1476">
          <cell r="F1476" t="str">
            <v/>
          </cell>
          <cell r="G1476" t="str">
            <v/>
          </cell>
          <cell r="H1476" t="str">
            <v/>
          </cell>
          <cell r="Q1476" t="str">
            <v/>
          </cell>
        </row>
        <row r="1477">
          <cell r="F1477" t="str">
            <v/>
          </cell>
          <cell r="G1477" t="str">
            <v/>
          </cell>
          <cell r="H1477" t="str">
            <v/>
          </cell>
          <cell r="Q1477" t="str">
            <v/>
          </cell>
        </row>
        <row r="1478">
          <cell r="F1478" t="str">
            <v/>
          </cell>
          <cell r="G1478" t="str">
            <v/>
          </cell>
          <cell r="H1478" t="str">
            <v/>
          </cell>
          <cell r="Q1478" t="str">
            <v/>
          </cell>
        </row>
        <row r="1479">
          <cell r="F1479" t="str">
            <v/>
          </cell>
          <cell r="G1479" t="str">
            <v/>
          </cell>
          <cell r="H1479" t="str">
            <v/>
          </cell>
          <cell r="Q1479" t="str">
            <v/>
          </cell>
        </row>
        <row r="1480">
          <cell r="F1480" t="str">
            <v/>
          </cell>
          <cell r="G1480" t="str">
            <v/>
          </cell>
          <cell r="H1480" t="str">
            <v/>
          </cell>
          <cell r="Q1480" t="str">
            <v/>
          </cell>
        </row>
        <row r="1481">
          <cell r="F1481" t="str">
            <v/>
          </cell>
          <cell r="G1481" t="str">
            <v/>
          </cell>
          <cell r="H1481" t="str">
            <v/>
          </cell>
          <cell r="Q1481" t="str">
            <v/>
          </cell>
        </row>
        <row r="1482">
          <cell r="F1482" t="str">
            <v/>
          </cell>
          <cell r="G1482" t="str">
            <v/>
          </cell>
          <cell r="H1482" t="str">
            <v/>
          </cell>
          <cell r="Q1482" t="str">
            <v/>
          </cell>
        </row>
        <row r="1483">
          <cell r="F1483" t="str">
            <v/>
          </cell>
          <cell r="G1483" t="str">
            <v/>
          </cell>
          <cell r="H1483" t="str">
            <v/>
          </cell>
          <cell r="Q1483" t="str">
            <v/>
          </cell>
        </row>
        <row r="1484">
          <cell r="F1484" t="str">
            <v/>
          </cell>
          <cell r="G1484" t="str">
            <v/>
          </cell>
          <cell r="H1484" t="str">
            <v/>
          </cell>
          <cell r="Q1484" t="str">
            <v/>
          </cell>
        </row>
        <row r="1485">
          <cell r="F1485" t="str">
            <v/>
          </cell>
          <cell r="G1485" t="str">
            <v/>
          </cell>
          <cell r="H1485" t="str">
            <v/>
          </cell>
          <cell r="Q1485" t="str">
            <v/>
          </cell>
        </row>
        <row r="1486">
          <cell r="F1486" t="str">
            <v/>
          </cell>
          <cell r="G1486" t="str">
            <v/>
          </cell>
          <cell r="H1486" t="str">
            <v/>
          </cell>
          <cell r="Q1486" t="str">
            <v/>
          </cell>
        </row>
        <row r="1487">
          <cell r="F1487" t="str">
            <v/>
          </cell>
          <cell r="G1487" t="str">
            <v/>
          </cell>
          <cell r="H1487" t="str">
            <v/>
          </cell>
          <cell r="Q1487" t="str">
            <v/>
          </cell>
        </row>
        <row r="1488">
          <cell r="F1488" t="str">
            <v/>
          </cell>
          <cell r="G1488" t="str">
            <v/>
          </cell>
          <cell r="H1488" t="str">
            <v/>
          </cell>
          <cell r="Q1488" t="str">
            <v/>
          </cell>
        </row>
        <row r="1489">
          <cell r="F1489" t="str">
            <v/>
          </cell>
          <cell r="G1489" t="str">
            <v/>
          </cell>
          <cell r="H1489" t="str">
            <v/>
          </cell>
          <cell r="Q1489" t="str">
            <v/>
          </cell>
        </row>
        <row r="1490">
          <cell r="F1490" t="str">
            <v/>
          </cell>
          <cell r="G1490" t="str">
            <v/>
          </cell>
          <cell r="H1490" t="str">
            <v/>
          </cell>
          <cell r="Q1490" t="str">
            <v/>
          </cell>
        </row>
        <row r="1491">
          <cell r="F1491" t="str">
            <v/>
          </cell>
          <cell r="G1491" t="str">
            <v/>
          </cell>
          <cell r="H1491" t="str">
            <v/>
          </cell>
          <cell r="Q1491" t="str">
            <v/>
          </cell>
        </row>
        <row r="1492">
          <cell r="F1492" t="str">
            <v/>
          </cell>
          <cell r="G1492" t="str">
            <v/>
          </cell>
          <cell r="H1492" t="str">
            <v/>
          </cell>
          <cell r="Q1492" t="str">
            <v/>
          </cell>
        </row>
        <row r="1493">
          <cell r="F1493" t="str">
            <v/>
          </cell>
          <cell r="G1493" t="str">
            <v/>
          </cell>
          <cell r="H1493" t="str">
            <v/>
          </cell>
          <cell r="Q1493" t="str">
            <v/>
          </cell>
        </row>
        <row r="1494">
          <cell r="F1494" t="str">
            <v/>
          </cell>
          <cell r="G1494" t="str">
            <v/>
          </cell>
          <cell r="H1494" t="str">
            <v/>
          </cell>
          <cell r="Q1494" t="str">
            <v/>
          </cell>
        </row>
        <row r="1495">
          <cell r="F1495" t="str">
            <v/>
          </cell>
          <cell r="G1495" t="str">
            <v/>
          </cell>
          <cell r="H1495" t="str">
            <v/>
          </cell>
          <cell r="Q1495" t="str">
            <v/>
          </cell>
        </row>
        <row r="1496">
          <cell r="F1496" t="str">
            <v/>
          </cell>
          <cell r="G1496" t="str">
            <v/>
          </cell>
          <cell r="H1496" t="str">
            <v/>
          </cell>
          <cell r="Q1496" t="str">
            <v/>
          </cell>
        </row>
        <row r="1497">
          <cell r="F1497" t="str">
            <v/>
          </cell>
          <cell r="G1497" t="str">
            <v/>
          </cell>
          <cell r="H1497" t="str">
            <v/>
          </cell>
          <cell r="Q1497" t="str">
            <v/>
          </cell>
        </row>
        <row r="1498">
          <cell r="F1498" t="str">
            <v/>
          </cell>
          <cell r="G1498" t="str">
            <v/>
          </cell>
          <cell r="H1498" t="str">
            <v/>
          </cell>
          <cell r="Q1498" t="str">
            <v/>
          </cell>
        </row>
        <row r="1499">
          <cell r="F1499" t="str">
            <v/>
          </cell>
          <cell r="G1499" t="str">
            <v/>
          </cell>
          <cell r="H1499" t="str">
            <v/>
          </cell>
          <cell r="Q1499" t="str">
            <v/>
          </cell>
        </row>
        <row r="1500">
          <cell r="F1500" t="str">
            <v/>
          </cell>
          <cell r="G1500" t="str">
            <v/>
          </cell>
          <cell r="H1500" t="str">
            <v/>
          </cell>
          <cell r="Q1500" t="str">
            <v/>
          </cell>
        </row>
        <row r="1501">
          <cell r="F1501" t="str">
            <v/>
          </cell>
          <cell r="G1501" t="str">
            <v/>
          </cell>
          <cell r="H1501" t="str">
            <v/>
          </cell>
          <cell r="Q1501" t="str">
            <v/>
          </cell>
        </row>
        <row r="1502">
          <cell r="F1502" t="str">
            <v/>
          </cell>
          <cell r="G1502" t="str">
            <v/>
          </cell>
          <cell r="H1502" t="str">
            <v/>
          </cell>
          <cell r="Q1502" t="str">
            <v/>
          </cell>
        </row>
        <row r="1503">
          <cell r="F1503" t="str">
            <v/>
          </cell>
          <cell r="G1503" t="str">
            <v/>
          </cell>
          <cell r="H1503" t="str">
            <v/>
          </cell>
          <cell r="Q1503" t="str">
            <v/>
          </cell>
        </row>
        <row r="1504">
          <cell r="F1504" t="str">
            <v/>
          </cell>
          <cell r="G1504" t="str">
            <v/>
          </cell>
          <cell r="H1504" t="str">
            <v/>
          </cell>
          <cell r="Q1504" t="str">
            <v/>
          </cell>
        </row>
        <row r="1505">
          <cell r="F1505" t="str">
            <v/>
          </cell>
          <cell r="G1505" t="str">
            <v/>
          </cell>
          <cell r="H1505" t="str">
            <v/>
          </cell>
          <cell r="Q1505" t="str">
            <v/>
          </cell>
        </row>
        <row r="1506">
          <cell r="F1506" t="str">
            <v/>
          </cell>
          <cell r="G1506" t="str">
            <v/>
          </cell>
          <cell r="H1506" t="str">
            <v/>
          </cell>
          <cell r="Q1506" t="str">
            <v/>
          </cell>
        </row>
        <row r="1507">
          <cell r="F1507" t="str">
            <v/>
          </cell>
          <cell r="G1507" t="str">
            <v/>
          </cell>
          <cell r="H1507" t="str">
            <v/>
          </cell>
          <cell r="Q1507" t="str">
            <v/>
          </cell>
        </row>
        <row r="1508">
          <cell r="F1508" t="str">
            <v/>
          </cell>
          <cell r="G1508" t="str">
            <v/>
          </cell>
          <cell r="H1508" t="str">
            <v/>
          </cell>
          <cell r="Q1508" t="str">
            <v/>
          </cell>
        </row>
        <row r="1509">
          <cell r="F1509" t="str">
            <v/>
          </cell>
          <cell r="G1509" t="str">
            <v/>
          </cell>
          <cell r="H1509" t="str">
            <v/>
          </cell>
          <cell r="Q1509" t="str">
            <v/>
          </cell>
        </row>
        <row r="1510">
          <cell r="F1510" t="str">
            <v/>
          </cell>
          <cell r="G1510" t="str">
            <v/>
          </cell>
          <cell r="H1510" t="str">
            <v/>
          </cell>
          <cell r="Q1510" t="str">
            <v/>
          </cell>
        </row>
        <row r="1511">
          <cell r="F1511" t="str">
            <v/>
          </cell>
          <cell r="G1511" t="str">
            <v/>
          </cell>
          <cell r="H1511" t="str">
            <v/>
          </cell>
          <cell r="Q1511" t="str">
            <v/>
          </cell>
        </row>
        <row r="1512">
          <cell r="F1512" t="str">
            <v/>
          </cell>
          <cell r="G1512" t="str">
            <v/>
          </cell>
          <cell r="H1512" t="str">
            <v/>
          </cell>
          <cell r="Q1512" t="str">
            <v/>
          </cell>
        </row>
        <row r="1513">
          <cell r="F1513" t="str">
            <v/>
          </cell>
          <cell r="G1513" t="str">
            <v/>
          </cell>
          <cell r="H1513" t="str">
            <v/>
          </cell>
          <cell r="Q1513" t="str">
            <v/>
          </cell>
        </row>
        <row r="1514">
          <cell r="F1514" t="str">
            <v/>
          </cell>
          <cell r="G1514" t="str">
            <v/>
          </cell>
          <cell r="H1514" t="str">
            <v/>
          </cell>
          <cell r="Q1514" t="str">
            <v/>
          </cell>
        </row>
        <row r="1515">
          <cell r="F1515" t="str">
            <v/>
          </cell>
          <cell r="G1515" t="str">
            <v/>
          </cell>
          <cell r="H1515" t="str">
            <v/>
          </cell>
          <cell r="Q1515" t="str">
            <v/>
          </cell>
        </row>
        <row r="1516">
          <cell r="F1516" t="str">
            <v/>
          </cell>
          <cell r="G1516" t="str">
            <v/>
          </cell>
          <cell r="H1516" t="str">
            <v/>
          </cell>
          <cell r="Q1516" t="str">
            <v/>
          </cell>
        </row>
        <row r="1517">
          <cell r="F1517" t="str">
            <v/>
          </cell>
          <cell r="G1517" t="str">
            <v/>
          </cell>
          <cell r="H1517" t="str">
            <v/>
          </cell>
          <cell r="Q1517" t="str">
            <v/>
          </cell>
        </row>
        <row r="1518">
          <cell r="F1518" t="str">
            <v/>
          </cell>
          <cell r="G1518" t="str">
            <v/>
          </cell>
          <cell r="H1518" t="str">
            <v/>
          </cell>
          <cell r="Q1518" t="str">
            <v/>
          </cell>
        </row>
        <row r="1519">
          <cell r="F1519" t="str">
            <v/>
          </cell>
          <cell r="G1519" t="str">
            <v/>
          </cell>
          <cell r="H1519" t="str">
            <v/>
          </cell>
          <cell r="Q1519" t="str">
            <v/>
          </cell>
        </row>
        <row r="1520">
          <cell r="F1520" t="str">
            <v/>
          </cell>
          <cell r="G1520" t="str">
            <v/>
          </cell>
          <cell r="H1520" t="str">
            <v/>
          </cell>
          <cell r="Q1520" t="str">
            <v/>
          </cell>
        </row>
        <row r="1521">
          <cell r="F1521" t="str">
            <v/>
          </cell>
          <cell r="G1521" t="str">
            <v/>
          </cell>
          <cell r="H1521" t="str">
            <v/>
          </cell>
          <cell r="Q1521" t="str">
            <v/>
          </cell>
        </row>
        <row r="1522">
          <cell r="F1522" t="str">
            <v/>
          </cell>
          <cell r="G1522" t="str">
            <v/>
          </cell>
          <cell r="H1522" t="str">
            <v/>
          </cell>
          <cell r="Q1522" t="str">
            <v/>
          </cell>
        </row>
        <row r="1523">
          <cell r="F1523" t="str">
            <v/>
          </cell>
          <cell r="G1523" t="str">
            <v/>
          </cell>
          <cell r="H1523" t="str">
            <v/>
          </cell>
          <cell r="Q1523" t="str">
            <v/>
          </cell>
        </row>
        <row r="1524">
          <cell r="F1524" t="str">
            <v/>
          </cell>
          <cell r="G1524" t="str">
            <v/>
          </cell>
          <cell r="H1524" t="str">
            <v/>
          </cell>
          <cell r="Q1524" t="str">
            <v/>
          </cell>
        </row>
        <row r="1525">
          <cell r="F1525" t="str">
            <v/>
          </cell>
          <cell r="G1525" t="str">
            <v/>
          </cell>
          <cell r="H1525" t="str">
            <v/>
          </cell>
          <cell r="Q1525" t="str">
            <v/>
          </cell>
        </row>
        <row r="1526">
          <cell r="F1526" t="str">
            <v/>
          </cell>
          <cell r="G1526" t="str">
            <v/>
          </cell>
          <cell r="H1526" t="str">
            <v/>
          </cell>
          <cell r="Q1526" t="str">
            <v/>
          </cell>
        </row>
        <row r="1527">
          <cell r="F1527" t="str">
            <v/>
          </cell>
          <cell r="G1527" t="str">
            <v/>
          </cell>
          <cell r="H1527" t="str">
            <v/>
          </cell>
          <cell r="Q1527" t="str">
            <v/>
          </cell>
        </row>
        <row r="1528">
          <cell r="F1528" t="str">
            <v/>
          </cell>
          <cell r="G1528" t="str">
            <v/>
          </cell>
          <cell r="H1528" t="str">
            <v/>
          </cell>
          <cell r="Q1528" t="str">
            <v/>
          </cell>
        </row>
        <row r="1529">
          <cell r="F1529" t="str">
            <v/>
          </cell>
          <cell r="G1529" t="str">
            <v/>
          </cell>
          <cell r="H1529" t="str">
            <v/>
          </cell>
          <cell r="Q1529" t="str">
            <v/>
          </cell>
        </row>
        <row r="1530">
          <cell r="F1530" t="str">
            <v/>
          </cell>
          <cell r="G1530" t="str">
            <v/>
          </cell>
          <cell r="H1530" t="str">
            <v/>
          </cell>
          <cell r="Q1530" t="str">
            <v/>
          </cell>
        </row>
        <row r="1531">
          <cell r="F1531" t="str">
            <v/>
          </cell>
          <cell r="G1531" t="str">
            <v/>
          </cell>
          <cell r="H1531" t="str">
            <v/>
          </cell>
          <cell r="Q1531" t="str">
            <v/>
          </cell>
        </row>
        <row r="1532">
          <cell r="F1532" t="str">
            <v/>
          </cell>
          <cell r="G1532" t="str">
            <v/>
          </cell>
          <cell r="H1532" t="str">
            <v/>
          </cell>
          <cell r="Q1532" t="str">
            <v/>
          </cell>
        </row>
        <row r="1533">
          <cell r="F1533" t="str">
            <v/>
          </cell>
          <cell r="G1533" t="str">
            <v/>
          </cell>
          <cell r="H1533" t="str">
            <v/>
          </cell>
          <cell r="Q1533" t="str">
            <v/>
          </cell>
        </row>
        <row r="1534">
          <cell r="F1534" t="str">
            <v/>
          </cell>
          <cell r="G1534" t="str">
            <v/>
          </cell>
          <cell r="H1534" t="str">
            <v/>
          </cell>
          <cell r="Q1534" t="str">
            <v/>
          </cell>
        </row>
        <row r="1535">
          <cell r="F1535" t="str">
            <v/>
          </cell>
          <cell r="G1535" t="str">
            <v/>
          </cell>
          <cell r="H1535" t="str">
            <v/>
          </cell>
          <cell r="Q1535" t="str">
            <v/>
          </cell>
        </row>
        <row r="1536">
          <cell r="F1536" t="str">
            <v/>
          </cell>
          <cell r="G1536" t="str">
            <v/>
          </cell>
          <cell r="H1536" t="str">
            <v/>
          </cell>
          <cell r="Q1536" t="str">
            <v/>
          </cell>
        </row>
        <row r="1537">
          <cell r="F1537" t="str">
            <v/>
          </cell>
          <cell r="G1537" t="str">
            <v/>
          </cell>
          <cell r="H1537" t="str">
            <v/>
          </cell>
          <cell r="Q1537" t="str">
            <v/>
          </cell>
        </row>
        <row r="1538">
          <cell r="F1538" t="str">
            <v/>
          </cell>
          <cell r="G1538" t="str">
            <v/>
          </cell>
          <cell r="H1538" t="str">
            <v/>
          </cell>
          <cell r="Q1538" t="str">
            <v/>
          </cell>
        </row>
        <row r="1539">
          <cell r="F1539" t="str">
            <v/>
          </cell>
          <cell r="G1539" t="str">
            <v/>
          </cell>
          <cell r="H1539" t="str">
            <v/>
          </cell>
          <cell r="Q1539" t="str">
            <v/>
          </cell>
        </row>
        <row r="1540">
          <cell r="F1540" t="str">
            <v/>
          </cell>
          <cell r="G1540" t="str">
            <v/>
          </cell>
          <cell r="H1540" t="str">
            <v/>
          </cell>
          <cell r="Q1540" t="str">
            <v/>
          </cell>
        </row>
        <row r="1541">
          <cell r="F1541" t="str">
            <v/>
          </cell>
          <cell r="G1541" t="str">
            <v/>
          </cell>
          <cell r="H1541" t="str">
            <v/>
          </cell>
          <cell r="Q1541" t="str">
            <v/>
          </cell>
        </row>
        <row r="1542">
          <cell r="F1542" t="str">
            <v/>
          </cell>
          <cell r="G1542" t="str">
            <v/>
          </cell>
          <cell r="H1542" t="str">
            <v/>
          </cell>
          <cell r="Q1542" t="str">
            <v/>
          </cell>
        </row>
        <row r="1543">
          <cell r="F1543" t="str">
            <v/>
          </cell>
          <cell r="G1543" t="str">
            <v/>
          </cell>
          <cell r="H1543" t="str">
            <v/>
          </cell>
          <cell r="Q1543" t="str">
            <v/>
          </cell>
        </row>
        <row r="1544">
          <cell r="F1544" t="str">
            <v/>
          </cell>
          <cell r="G1544" t="str">
            <v/>
          </cell>
          <cell r="H1544" t="str">
            <v/>
          </cell>
          <cell r="Q1544" t="str">
            <v/>
          </cell>
        </row>
        <row r="1545">
          <cell r="F1545" t="str">
            <v/>
          </cell>
          <cell r="G1545" t="str">
            <v/>
          </cell>
          <cell r="H1545" t="str">
            <v/>
          </cell>
          <cell r="Q1545" t="str">
            <v/>
          </cell>
        </row>
        <row r="1546">
          <cell r="F1546" t="str">
            <v/>
          </cell>
          <cell r="G1546" t="str">
            <v/>
          </cell>
          <cell r="H1546" t="str">
            <v/>
          </cell>
          <cell r="Q1546" t="str">
            <v/>
          </cell>
        </row>
        <row r="1547">
          <cell r="F1547" t="str">
            <v/>
          </cell>
          <cell r="G1547" t="str">
            <v/>
          </cell>
          <cell r="H1547" t="str">
            <v/>
          </cell>
          <cell r="Q1547" t="str">
            <v/>
          </cell>
        </row>
        <row r="1548">
          <cell r="F1548" t="str">
            <v/>
          </cell>
          <cell r="G1548" t="str">
            <v/>
          </cell>
          <cell r="H1548" t="str">
            <v/>
          </cell>
          <cell r="Q1548" t="str">
            <v/>
          </cell>
        </row>
        <row r="1549">
          <cell r="F1549" t="str">
            <v/>
          </cell>
          <cell r="G1549" t="str">
            <v/>
          </cell>
          <cell r="H1549" t="str">
            <v/>
          </cell>
          <cell r="Q1549" t="str">
            <v/>
          </cell>
        </row>
        <row r="1550">
          <cell r="F1550" t="str">
            <v/>
          </cell>
          <cell r="G1550" t="str">
            <v/>
          </cell>
          <cell r="H1550" t="str">
            <v/>
          </cell>
          <cell r="Q1550" t="str">
            <v/>
          </cell>
        </row>
        <row r="1551">
          <cell r="F1551" t="str">
            <v/>
          </cell>
          <cell r="G1551" t="str">
            <v/>
          </cell>
          <cell r="H1551" t="str">
            <v/>
          </cell>
          <cell r="Q1551" t="str">
            <v/>
          </cell>
        </row>
        <row r="1552">
          <cell r="F1552" t="str">
            <v/>
          </cell>
          <cell r="G1552" t="str">
            <v/>
          </cell>
          <cell r="H1552" t="str">
            <v/>
          </cell>
          <cell r="Q1552" t="str">
            <v/>
          </cell>
        </row>
        <row r="1553">
          <cell r="F1553" t="str">
            <v/>
          </cell>
          <cell r="G1553" t="str">
            <v/>
          </cell>
          <cell r="H1553" t="str">
            <v/>
          </cell>
          <cell r="Q1553" t="str">
            <v/>
          </cell>
        </row>
        <row r="1554">
          <cell r="F1554" t="str">
            <v/>
          </cell>
          <cell r="G1554" t="str">
            <v/>
          </cell>
          <cell r="H1554" t="str">
            <v/>
          </cell>
          <cell r="Q1554" t="str">
            <v/>
          </cell>
        </row>
        <row r="1555">
          <cell r="F1555" t="str">
            <v/>
          </cell>
          <cell r="G1555" t="str">
            <v/>
          </cell>
          <cell r="H1555" t="str">
            <v/>
          </cell>
          <cell r="Q1555" t="str">
            <v/>
          </cell>
        </row>
        <row r="1556">
          <cell r="F1556" t="str">
            <v/>
          </cell>
          <cell r="G1556" t="str">
            <v/>
          </cell>
          <cell r="H1556" t="str">
            <v/>
          </cell>
          <cell r="Q1556" t="str">
            <v/>
          </cell>
        </row>
        <row r="1557">
          <cell r="F1557" t="str">
            <v/>
          </cell>
          <cell r="G1557" t="str">
            <v/>
          </cell>
          <cell r="H1557" t="str">
            <v/>
          </cell>
          <cell r="Q1557" t="str">
            <v/>
          </cell>
        </row>
        <row r="1558">
          <cell r="F1558" t="str">
            <v/>
          </cell>
          <cell r="G1558" t="str">
            <v/>
          </cell>
          <cell r="H1558" t="str">
            <v/>
          </cell>
          <cell r="Q1558" t="str">
            <v/>
          </cell>
        </row>
        <row r="1559">
          <cell r="F1559" t="str">
            <v/>
          </cell>
          <cell r="G1559" t="str">
            <v/>
          </cell>
          <cell r="H1559" t="str">
            <v/>
          </cell>
          <cell r="Q1559" t="str">
            <v/>
          </cell>
        </row>
        <row r="1560">
          <cell r="F1560" t="str">
            <v/>
          </cell>
          <cell r="G1560" t="str">
            <v/>
          </cell>
          <cell r="H1560" t="str">
            <v/>
          </cell>
          <cell r="Q1560" t="str">
            <v/>
          </cell>
        </row>
        <row r="1561">
          <cell r="F1561" t="str">
            <v/>
          </cell>
          <cell r="G1561" t="str">
            <v/>
          </cell>
          <cell r="H1561" t="str">
            <v/>
          </cell>
          <cell r="Q1561" t="str">
            <v/>
          </cell>
        </row>
        <row r="1562">
          <cell r="F1562" t="str">
            <v/>
          </cell>
          <cell r="G1562" t="str">
            <v/>
          </cell>
          <cell r="H1562" t="str">
            <v/>
          </cell>
          <cell r="Q1562" t="str">
            <v/>
          </cell>
        </row>
        <row r="1563">
          <cell r="F1563" t="str">
            <v/>
          </cell>
          <cell r="G1563" t="str">
            <v/>
          </cell>
          <cell r="H1563" t="str">
            <v/>
          </cell>
          <cell r="Q1563" t="str">
            <v/>
          </cell>
        </row>
        <row r="1564">
          <cell r="F1564" t="str">
            <v/>
          </cell>
          <cell r="G1564" t="str">
            <v/>
          </cell>
          <cell r="H1564" t="str">
            <v/>
          </cell>
          <cell r="Q1564" t="str">
            <v/>
          </cell>
        </row>
        <row r="1565">
          <cell r="F1565" t="str">
            <v/>
          </cell>
          <cell r="G1565" t="str">
            <v/>
          </cell>
          <cell r="H1565" t="str">
            <v/>
          </cell>
          <cell r="Q1565" t="str">
            <v/>
          </cell>
        </row>
        <row r="1566">
          <cell r="F1566" t="str">
            <v/>
          </cell>
          <cell r="G1566" t="str">
            <v/>
          </cell>
          <cell r="H1566" t="str">
            <v/>
          </cell>
          <cell r="Q1566" t="str">
            <v/>
          </cell>
        </row>
        <row r="1567">
          <cell r="F1567" t="str">
            <v/>
          </cell>
          <cell r="G1567" t="str">
            <v/>
          </cell>
          <cell r="H1567" t="str">
            <v/>
          </cell>
          <cell r="Q1567" t="str">
            <v/>
          </cell>
        </row>
        <row r="1568">
          <cell r="F1568" t="str">
            <v/>
          </cell>
          <cell r="G1568" t="str">
            <v/>
          </cell>
          <cell r="H1568" t="str">
            <v/>
          </cell>
          <cell r="Q1568" t="str">
            <v/>
          </cell>
        </row>
        <row r="1569">
          <cell r="F1569" t="str">
            <v/>
          </cell>
          <cell r="G1569" t="str">
            <v/>
          </cell>
          <cell r="H1569" t="str">
            <v/>
          </cell>
          <cell r="Q1569" t="str">
            <v/>
          </cell>
        </row>
        <row r="1570">
          <cell r="F1570" t="str">
            <v/>
          </cell>
          <cell r="G1570" t="str">
            <v/>
          </cell>
          <cell r="H1570" t="str">
            <v/>
          </cell>
          <cell r="Q1570" t="str">
            <v/>
          </cell>
        </row>
        <row r="1571">
          <cell r="F1571" t="str">
            <v/>
          </cell>
          <cell r="G1571" t="str">
            <v/>
          </cell>
          <cell r="H1571" t="str">
            <v/>
          </cell>
          <cell r="Q1571" t="str">
            <v/>
          </cell>
        </row>
        <row r="1572">
          <cell r="F1572" t="str">
            <v/>
          </cell>
          <cell r="G1572" t="str">
            <v/>
          </cell>
          <cell r="H1572" t="str">
            <v/>
          </cell>
          <cell r="Q1572" t="str">
            <v/>
          </cell>
        </row>
        <row r="1573">
          <cell r="F1573" t="str">
            <v/>
          </cell>
          <cell r="G1573" t="str">
            <v/>
          </cell>
          <cell r="H1573" t="str">
            <v/>
          </cell>
          <cell r="Q1573" t="str">
            <v/>
          </cell>
        </row>
        <row r="1574">
          <cell r="F1574" t="str">
            <v/>
          </cell>
          <cell r="G1574" t="str">
            <v/>
          </cell>
          <cell r="H1574" t="str">
            <v/>
          </cell>
          <cell r="Q1574" t="str">
            <v/>
          </cell>
        </row>
        <row r="1575">
          <cell r="F1575" t="str">
            <v/>
          </cell>
          <cell r="G1575" t="str">
            <v/>
          </cell>
          <cell r="H1575" t="str">
            <v/>
          </cell>
          <cell r="Q1575" t="str">
            <v/>
          </cell>
        </row>
        <row r="1576">
          <cell r="F1576" t="str">
            <v/>
          </cell>
          <cell r="G1576" t="str">
            <v/>
          </cell>
          <cell r="H1576" t="str">
            <v/>
          </cell>
          <cell r="Q1576" t="str">
            <v/>
          </cell>
        </row>
        <row r="1577">
          <cell r="F1577" t="str">
            <v/>
          </cell>
          <cell r="G1577" t="str">
            <v/>
          </cell>
          <cell r="H1577" t="str">
            <v/>
          </cell>
          <cell r="Q1577" t="str">
            <v/>
          </cell>
        </row>
        <row r="1578">
          <cell r="F1578" t="str">
            <v/>
          </cell>
          <cell r="G1578" t="str">
            <v/>
          </cell>
          <cell r="H1578" t="str">
            <v/>
          </cell>
          <cell r="Q1578" t="str">
            <v/>
          </cell>
        </row>
        <row r="1579">
          <cell r="F1579" t="str">
            <v/>
          </cell>
          <cell r="G1579" t="str">
            <v/>
          </cell>
          <cell r="H1579" t="str">
            <v/>
          </cell>
          <cell r="Q1579" t="str">
            <v/>
          </cell>
        </row>
        <row r="1580">
          <cell r="F1580" t="str">
            <v/>
          </cell>
          <cell r="G1580" t="str">
            <v/>
          </cell>
          <cell r="H1580" t="str">
            <v/>
          </cell>
          <cell r="Q1580" t="str">
            <v/>
          </cell>
        </row>
        <row r="1581">
          <cell r="F1581" t="str">
            <v/>
          </cell>
          <cell r="G1581" t="str">
            <v/>
          </cell>
          <cell r="H1581" t="str">
            <v/>
          </cell>
          <cell r="Q1581" t="str">
            <v/>
          </cell>
        </row>
        <row r="1582">
          <cell r="F1582" t="str">
            <v/>
          </cell>
          <cell r="G1582" t="str">
            <v/>
          </cell>
          <cell r="H1582" t="str">
            <v/>
          </cell>
          <cell r="Q1582" t="str">
            <v/>
          </cell>
        </row>
        <row r="1583">
          <cell r="F1583" t="str">
            <v/>
          </cell>
          <cell r="G1583" t="str">
            <v/>
          </cell>
          <cell r="H1583" t="str">
            <v/>
          </cell>
          <cell r="Q1583" t="str">
            <v/>
          </cell>
        </row>
        <row r="1584">
          <cell r="F1584" t="str">
            <v/>
          </cell>
          <cell r="G1584" t="str">
            <v/>
          </cell>
          <cell r="H1584" t="str">
            <v/>
          </cell>
          <cell r="Q1584" t="str">
            <v/>
          </cell>
        </row>
        <row r="1585">
          <cell r="F1585" t="str">
            <v/>
          </cell>
          <cell r="G1585" t="str">
            <v/>
          </cell>
          <cell r="H1585" t="str">
            <v/>
          </cell>
          <cell r="Q1585" t="str">
            <v/>
          </cell>
        </row>
        <row r="1586">
          <cell r="F1586" t="str">
            <v/>
          </cell>
          <cell r="G1586" t="str">
            <v/>
          </cell>
          <cell r="H1586" t="str">
            <v/>
          </cell>
          <cell r="Q1586" t="str">
            <v/>
          </cell>
        </row>
        <row r="1587">
          <cell r="F1587" t="str">
            <v/>
          </cell>
          <cell r="G1587" t="str">
            <v/>
          </cell>
          <cell r="H1587" t="str">
            <v/>
          </cell>
          <cell r="Q1587" t="str">
            <v/>
          </cell>
        </row>
        <row r="1588">
          <cell r="F1588" t="str">
            <v/>
          </cell>
          <cell r="G1588" t="str">
            <v/>
          </cell>
          <cell r="H1588" t="str">
            <v/>
          </cell>
          <cell r="Q1588" t="str">
            <v/>
          </cell>
        </row>
        <row r="1589">
          <cell r="F1589" t="str">
            <v/>
          </cell>
          <cell r="G1589" t="str">
            <v/>
          </cell>
          <cell r="H1589" t="str">
            <v/>
          </cell>
          <cell r="Q1589" t="str">
            <v/>
          </cell>
        </row>
        <row r="1590">
          <cell r="F1590" t="str">
            <v/>
          </cell>
          <cell r="G1590" t="str">
            <v/>
          </cell>
          <cell r="H1590" t="str">
            <v/>
          </cell>
          <cell r="Q1590" t="str">
            <v/>
          </cell>
        </row>
        <row r="1591">
          <cell r="F1591" t="str">
            <v/>
          </cell>
          <cell r="G1591" t="str">
            <v/>
          </cell>
          <cell r="H1591" t="str">
            <v/>
          </cell>
          <cell r="Q1591" t="str">
            <v/>
          </cell>
        </row>
        <row r="1592">
          <cell r="F1592" t="str">
            <v/>
          </cell>
          <cell r="G1592" t="str">
            <v/>
          </cell>
          <cell r="H1592" t="str">
            <v/>
          </cell>
          <cell r="Q1592" t="str">
            <v/>
          </cell>
        </row>
        <row r="1593">
          <cell r="F1593" t="str">
            <v/>
          </cell>
          <cell r="G1593" t="str">
            <v/>
          </cell>
          <cell r="H1593" t="str">
            <v/>
          </cell>
          <cell r="Q1593" t="str">
            <v/>
          </cell>
        </row>
        <row r="1594">
          <cell r="F1594" t="str">
            <v/>
          </cell>
          <cell r="G1594" t="str">
            <v/>
          </cell>
          <cell r="H1594" t="str">
            <v/>
          </cell>
          <cell r="Q1594" t="str">
            <v/>
          </cell>
        </row>
        <row r="1595">
          <cell r="F1595" t="str">
            <v/>
          </cell>
          <cell r="G1595" t="str">
            <v/>
          </cell>
          <cell r="H1595" t="str">
            <v/>
          </cell>
          <cell r="Q1595" t="str">
            <v/>
          </cell>
        </row>
        <row r="1596">
          <cell r="F1596" t="str">
            <v/>
          </cell>
          <cell r="G1596" t="str">
            <v/>
          </cell>
          <cell r="H1596" t="str">
            <v/>
          </cell>
          <cell r="Q1596" t="str">
            <v/>
          </cell>
        </row>
        <row r="1597">
          <cell r="F1597" t="str">
            <v/>
          </cell>
          <cell r="G1597" t="str">
            <v/>
          </cell>
          <cell r="H1597" t="str">
            <v/>
          </cell>
          <cell r="Q1597" t="str">
            <v/>
          </cell>
        </row>
        <row r="1598">
          <cell r="F1598" t="str">
            <v/>
          </cell>
          <cell r="G1598" t="str">
            <v/>
          </cell>
          <cell r="H1598" t="str">
            <v/>
          </cell>
          <cell r="Q1598" t="str">
            <v/>
          </cell>
        </row>
        <row r="1599">
          <cell r="F1599" t="str">
            <v/>
          </cell>
          <cell r="G1599" t="str">
            <v/>
          </cell>
          <cell r="H1599" t="str">
            <v/>
          </cell>
          <cell r="Q1599" t="str">
            <v/>
          </cell>
        </row>
        <row r="1600">
          <cell r="F1600" t="str">
            <v/>
          </cell>
          <cell r="G1600" t="str">
            <v/>
          </cell>
          <cell r="H1600" t="str">
            <v/>
          </cell>
          <cell r="Q1600" t="str">
            <v/>
          </cell>
        </row>
        <row r="1601">
          <cell r="F1601" t="str">
            <v/>
          </cell>
          <cell r="G1601" t="str">
            <v/>
          </cell>
          <cell r="H1601" t="str">
            <v/>
          </cell>
          <cell r="Q1601" t="str">
            <v/>
          </cell>
        </row>
        <row r="1602">
          <cell r="F1602" t="str">
            <v/>
          </cell>
          <cell r="G1602" t="str">
            <v/>
          </cell>
          <cell r="H1602" t="str">
            <v/>
          </cell>
          <cell r="Q1602" t="str">
            <v/>
          </cell>
        </row>
        <row r="1603">
          <cell r="F1603" t="str">
            <v/>
          </cell>
          <cell r="G1603" t="str">
            <v/>
          </cell>
          <cell r="H1603" t="str">
            <v/>
          </cell>
          <cell r="Q1603" t="str">
            <v/>
          </cell>
        </row>
        <row r="1604">
          <cell r="F1604" t="str">
            <v/>
          </cell>
          <cell r="G1604" t="str">
            <v/>
          </cell>
          <cell r="H1604" t="str">
            <v/>
          </cell>
          <cell r="Q1604" t="str">
            <v/>
          </cell>
        </row>
        <row r="1605">
          <cell r="F1605" t="str">
            <v/>
          </cell>
          <cell r="G1605" t="str">
            <v/>
          </cell>
          <cell r="H1605" t="str">
            <v/>
          </cell>
          <cell r="Q1605" t="str">
            <v/>
          </cell>
        </row>
        <row r="1606">
          <cell r="F1606" t="str">
            <v/>
          </cell>
          <cell r="G1606" t="str">
            <v/>
          </cell>
          <cell r="H1606" t="str">
            <v/>
          </cell>
          <cell r="Q1606" t="str">
            <v/>
          </cell>
        </row>
        <row r="1607">
          <cell r="F1607" t="str">
            <v/>
          </cell>
          <cell r="G1607" t="str">
            <v/>
          </cell>
          <cell r="H1607" t="str">
            <v/>
          </cell>
          <cell r="Q1607" t="str">
            <v/>
          </cell>
        </row>
        <row r="1608">
          <cell r="F1608" t="str">
            <v/>
          </cell>
          <cell r="G1608" t="str">
            <v/>
          </cell>
          <cell r="H1608" t="str">
            <v/>
          </cell>
          <cell r="Q1608" t="str">
            <v/>
          </cell>
        </row>
        <row r="1609">
          <cell r="F1609" t="str">
            <v/>
          </cell>
          <cell r="G1609" t="str">
            <v/>
          </cell>
          <cell r="H1609" t="str">
            <v/>
          </cell>
          <cell r="Q1609" t="str">
            <v/>
          </cell>
        </row>
        <row r="1610">
          <cell r="F1610" t="str">
            <v/>
          </cell>
          <cell r="G1610" t="str">
            <v/>
          </cell>
          <cell r="H1610" t="str">
            <v/>
          </cell>
          <cell r="Q1610" t="str">
            <v/>
          </cell>
        </row>
        <row r="1611">
          <cell r="F1611" t="str">
            <v/>
          </cell>
          <cell r="G1611" t="str">
            <v/>
          </cell>
          <cell r="H1611" t="str">
            <v/>
          </cell>
          <cell r="Q1611" t="str">
            <v/>
          </cell>
        </row>
        <row r="1612">
          <cell r="F1612" t="str">
            <v/>
          </cell>
          <cell r="G1612" t="str">
            <v/>
          </cell>
          <cell r="H1612" t="str">
            <v/>
          </cell>
          <cell r="Q1612" t="str">
            <v/>
          </cell>
        </row>
        <row r="1613">
          <cell r="F1613" t="str">
            <v/>
          </cell>
          <cell r="G1613" t="str">
            <v/>
          </cell>
          <cell r="H1613" t="str">
            <v/>
          </cell>
          <cell r="Q1613" t="str">
            <v/>
          </cell>
        </row>
        <row r="1614">
          <cell r="F1614" t="str">
            <v/>
          </cell>
          <cell r="G1614" t="str">
            <v/>
          </cell>
          <cell r="H1614" t="str">
            <v/>
          </cell>
          <cell r="Q1614" t="str">
            <v/>
          </cell>
        </row>
        <row r="1615">
          <cell r="F1615" t="str">
            <v/>
          </cell>
          <cell r="G1615" t="str">
            <v/>
          </cell>
          <cell r="H1615" t="str">
            <v/>
          </cell>
          <cell r="Q1615" t="str">
            <v/>
          </cell>
        </row>
        <row r="1616">
          <cell r="F1616" t="str">
            <v/>
          </cell>
          <cell r="G1616" t="str">
            <v/>
          </cell>
          <cell r="H1616" t="str">
            <v/>
          </cell>
          <cell r="Q1616" t="str">
            <v/>
          </cell>
        </row>
        <row r="1617">
          <cell r="F1617" t="str">
            <v/>
          </cell>
          <cell r="G1617" t="str">
            <v/>
          </cell>
          <cell r="H1617" t="str">
            <v/>
          </cell>
          <cell r="Q1617" t="str">
            <v/>
          </cell>
        </row>
        <row r="1618">
          <cell r="F1618" t="str">
            <v/>
          </cell>
          <cell r="G1618" t="str">
            <v/>
          </cell>
          <cell r="H1618" t="str">
            <v/>
          </cell>
          <cell r="Q1618" t="str">
            <v/>
          </cell>
        </row>
        <row r="1619">
          <cell r="F1619" t="str">
            <v/>
          </cell>
          <cell r="G1619" t="str">
            <v/>
          </cell>
          <cell r="H1619" t="str">
            <v/>
          </cell>
          <cell r="Q1619" t="str">
            <v/>
          </cell>
        </row>
        <row r="1620">
          <cell r="F1620" t="str">
            <v/>
          </cell>
          <cell r="G1620" t="str">
            <v/>
          </cell>
          <cell r="H1620" t="str">
            <v/>
          </cell>
          <cell r="Q1620" t="str">
            <v/>
          </cell>
        </row>
        <row r="1621">
          <cell r="F1621" t="str">
            <v/>
          </cell>
          <cell r="G1621" t="str">
            <v/>
          </cell>
          <cell r="H1621" t="str">
            <v/>
          </cell>
          <cell r="Q1621" t="str">
            <v/>
          </cell>
        </row>
        <row r="1622">
          <cell r="F1622" t="str">
            <v/>
          </cell>
          <cell r="G1622" t="str">
            <v/>
          </cell>
          <cell r="H1622" t="str">
            <v/>
          </cell>
          <cell r="Q1622" t="str">
            <v/>
          </cell>
        </row>
        <row r="1623">
          <cell r="F1623" t="str">
            <v/>
          </cell>
          <cell r="G1623" t="str">
            <v/>
          </cell>
          <cell r="H1623" t="str">
            <v/>
          </cell>
          <cell r="Q1623" t="str">
            <v/>
          </cell>
        </row>
        <row r="1624">
          <cell r="F1624" t="str">
            <v/>
          </cell>
          <cell r="G1624" t="str">
            <v/>
          </cell>
          <cell r="H1624" t="str">
            <v/>
          </cell>
          <cell r="Q1624" t="str">
            <v/>
          </cell>
        </row>
        <row r="1625">
          <cell r="F1625" t="str">
            <v/>
          </cell>
          <cell r="G1625" t="str">
            <v/>
          </cell>
          <cell r="H1625" t="str">
            <v/>
          </cell>
          <cell r="Q1625" t="str">
            <v/>
          </cell>
        </row>
        <row r="1626">
          <cell r="F1626" t="str">
            <v/>
          </cell>
          <cell r="G1626" t="str">
            <v/>
          </cell>
          <cell r="H1626" t="str">
            <v/>
          </cell>
          <cell r="Q1626" t="str">
            <v/>
          </cell>
        </row>
        <row r="1627">
          <cell r="F1627" t="str">
            <v/>
          </cell>
          <cell r="G1627" t="str">
            <v/>
          </cell>
          <cell r="H1627" t="str">
            <v/>
          </cell>
          <cell r="Q1627" t="str">
            <v/>
          </cell>
        </row>
        <row r="1628">
          <cell r="F1628" t="str">
            <v/>
          </cell>
          <cell r="G1628" t="str">
            <v/>
          </cell>
          <cell r="H1628" t="str">
            <v/>
          </cell>
          <cell r="Q1628" t="str">
            <v/>
          </cell>
        </row>
        <row r="1629">
          <cell r="F1629" t="str">
            <v/>
          </cell>
          <cell r="G1629" t="str">
            <v/>
          </cell>
          <cell r="H1629" t="str">
            <v/>
          </cell>
          <cell r="Q1629" t="str">
            <v/>
          </cell>
        </row>
        <row r="1630">
          <cell r="F1630" t="str">
            <v/>
          </cell>
          <cell r="G1630" t="str">
            <v/>
          </cell>
          <cell r="H1630" t="str">
            <v/>
          </cell>
          <cell r="Q1630" t="str">
            <v/>
          </cell>
        </row>
        <row r="1631">
          <cell r="F1631" t="str">
            <v/>
          </cell>
          <cell r="G1631" t="str">
            <v/>
          </cell>
          <cell r="H1631" t="str">
            <v/>
          </cell>
          <cell r="Q1631" t="str">
            <v/>
          </cell>
        </row>
        <row r="1632">
          <cell r="F1632" t="str">
            <v/>
          </cell>
          <cell r="G1632" t="str">
            <v/>
          </cell>
          <cell r="H1632" t="str">
            <v/>
          </cell>
          <cell r="Q1632" t="str">
            <v/>
          </cell>
        </row>
        <row r="1633">
          <cell r="F1633" t="str">
            <v/>
          </cell>
          <cell r="G1633" t="str">
            <v/>
          </cell>
          <cell r="H1633" t="str">
            <v/>
          </cell>
          <cell r="Q1633" t="str">
            <v/>
          </cell>
        </row>
        <row r="1634">
          <cell r="F1634" t="str">
            <v/>
          </cell>
          <cell r="G1634" t="str">
            <v/>
          </cell>
          <cell r="H1634" t="str">
            <v/>
          </cell>
          <cell r="Q1634" t="str">
            <v/>
          </cell>
        </row>
        <row r="1635">
          <cell r="F1635" t="str">
            <v/>
          </cell>
          <cell r="G1635" t="str">
            <v/>
          </cell>
          <cell r="H1635" t="str">
            <v/>
          </cell>
          <cell r="Q1635" t="str">
            <v/>
          </cell>
        </row>
        <row r="1636">
          <cell r="F1636" t="str">
            <v/>
          </cell>
          <cell r="G1636" t="str">
            <v/>
          </cell>
          <cell r="H1636" t="str">
            <v/>
          </cell>
          <cell r="Q1636" t="str">
            <v/>
          </cell>
        </row>
        <row r="1637">
          <cell r="F1637" t="str">
            <v/>
          </cell>
          <cell r="G1637" t="str">
            <v/>
          </cell>
          <cell r="H1637" t="str">
            <v/>
          </cell>
          <cell r="Q1637" t="str">
            <v/>
          </cell>
        </row>
        <row r="1638">
          <cell r="F1638" t="str">
            <v/>
          </cell>
          <cell r="G1638" t="str">
            <v/>
          </cell>
          <cell r="H1638" t="str">
            <v/>
          </cell>
          <cell r="Q1638" t="str">
            <v/>
          </cell>
        </row>
        <row r="1639">
          <cell r="F1639" t="str">
            <v/>
          </cell>
          <cell r="G1639" t="str">
            <v/>
          </cell>
          <cell r="H1639" t="str">
            <v/>
          </cell>
          <cell r="Q1639" t="str">
            <v/>
          </cell>
        </row>
        <row r="1640">
          <cell r="F1640" t="str">
            <v/>
          </cell>
          <cell r="G1640" t="str">
            <v/>
          </cell>
          <cell r="H1640" t="str">
            <v/>
          </cell>
          <cell r="Q1640" t="str">
            <v/>
          </cell>
        </row>
        <row r="1641">
          <cell r="F1641" t="str">
            <v/>
          </cell>
          <cell r="G1641" t="str">
            <v/>
          </cell>
          <cell r="H1641" t="str">
            <v/>
          </cell>
          <cell r="Q1641" t="str">
            <v/>
          </cell>
        </row>
        <row r="1642">
          <cell r="F1642" t="str">
            <v/>
          </cell>
          <cell r="G1642" t="str">
            <v/>
          </cell>
          <cell r="H1642" t="str">
            <v/>
          </cell>
          <cell r="Q1642" t="str">
            <v/>
          </cell>
        </row>
        <row r="1643">
          <cell r="F1643" t="str">
            <v/>
          </cell>
          <cell r="G1643" t="str">
            <v/>
          </cell>
          <cell r="H1643" t="str">
            <v/>
          </cell>
          <cell r="Q1643" t="str">
            <v/>
          </cell>
        </row>
        <row r="1644">
          <cell r="F1644" t="str">
            <v/>
          </cell>
          <cell r="G1644" t="str">
            <v/>
          </cell>
          <cell r="H1644" t="str">
            <v/>
          </cell>
          <cell r="Q1644" t="str">
            <v/>
          </cell>
        </row>
        <row r="1645">
          <cell r="F1645" t="str">
            <v/>
          </cell>
          <cell r="G1645" t="str">
            <v/>
          </cell>
          <cell r="H1645" t="str">
            <v/>
          </cell>
          <cell r="Q1645" t="str">
            <v/>
          </cell>
        </row>
        <row r="1646">
          <cell r="F1646" t="str">
            <v/>
          </cell>
          <cell r="G1646" t="str">
            <v/>
          </cell>
          <cell r="H1646" t="str">
            <v/>
          </cell>
          <cell r="Q1646" t="str">
            <v/>
          </cell>
        </row>
        <row r="1647">
          <cell r="F1647" t="str">
            <v/>
          </cell>
          <cell r="G1647" t="str">
            <v/>
          </cell>
          <cell r="H1647" t="str">
            <v/>
          </cell>
          <cell r="Q1647" t="str">
            <v/>
          </cell>
        </row>
        <row r="1648">
          <cell r="F1648" t="str">
            <v/>
          </cell>
          <cell r="G1648" t="str">
            <v/>
          </cell>
          <cell r="H1648" t="str">
            <v/>
          </cell>
          <cell r="Q1648" t="str">
            <v/>
          </cell>
        </row>
        <row r="1649">
          <cell r="F1649" t="str">
            <v/>
          </cell>
          <cell r="G1649" t="str">
            <v/>
          </cell>
          <cell r="H1649" t="str">
            <v/>
          </cell>
          <cell r="Q1649" t="str">
            <v/>
          </cell>
        </row>
        <row r="1650">
          <cell r="F1650" t="str">
            <v/>
          </cell>
          <cell r="G1650" t="str">
            <v/>
          </cell>
          <cell r="H1650" t="str">
            <v/>
          </cell>
          <cell r="Q1650" t="str">
            <v/>
          </cell>
        </row>
        <row r="1651">
          <cell r="F1651" t="str">
            <v/>
          </cell>
          <cell r="G1651" t="str">
            <v/>
          </cell>
          <cell r="H1651" t="str">
            <v/>
          </cell>
          <cell r="Q1651" t="str">
            <v/>
          </cell>
        </row>
        <row r="1652">
          <cell r="F1652" t="str">
            <v/>
          </cell>
          <cell r="G1652" t="str">
            <v/>
          </cell>
          <cell r="H1652" t="str">
            <v/>
          </cell>
          <cell r="Q1652" t="str">
            <v/>
          </cell>
        </row>
        <row r="1653">
          <cell r="F1653" t="str">
            <v/>
          </cell>
          <cell r="G1653" t="str">
            <v/>
          </cell>
          <cell r="H1653" t="str">
            <v/>
          </cell>
          <cell r="Q1653" t="str">
            <v/>
          </cell>
        </row>
        <row r="1654">
          <cell r="F1654" t="str">
            <v/>
          </cell>
          <cell r="G1654" t="str">
            <v/>
          </cell>
          <cell r="H1654" t="str">
            <v/>
          </cell>
          <cell r="Q1654" t="str">
            <v/>
          </cell>
        </row>
        <row r="1655">
          <cell r="F1655" t="str">
            <v/>
          </cell>
          <cell r="G1655" t="str">
            <v/>
          </cell>
          <cell r="H1655" t="str">
            <v/>
          </cell>
          <cell r="Q1655" t="str">
            <v/>
          </cell>
        </row>
        <row r="1656">
          <cell r="F1656" t="str">
            <v/>
          </cell>
          <cell r="G1656" t="str">
            <v/>
          </cell>
          <cell r="H1656" t="str">
            <v/>
          </cell>
          <cell r="Q1656" t="str">
            <v/>
          </cell>
        </row>
        <row r="1657">
          <cell r="F1657" t="str">
            <v/>
          </cell>
          <cell r="G1657" t="str">
            <v/>
          </cell>
          <cell r="H1657" t="str">
            <v/>
          </cell>
          <cell r="Q1657" t="str">
            <v/>
          </cell>
        </row>
        <row r="1658">
          <cell r="F1658" t="str">
            <v/>
          </cell>
          <cell r="G1658" t="str">
            <v/>
          </cell>
          <cell r="H1658" t="str">
            <v/>
          </cell>
          <cell r="Q1658" t="str">
            <v/>
          </cell>
        </row>
        <row r="1659">
          <cell r="F1659" t="str">
            <v/>
          </cell>
          <cell r="G1659" t="str">
            <v/>
          </cell>
          <cell r="H1659" t="str">
            <v/>
          </cell>
          <cell r="Q1659" t="str">
            <v/>
          </cell>
        </row>
        <row r="1660">
          <cell r="F1660" t="str">
            <v/>
          </cell>
          <cell r="G1660" t="str">
            <v/>
          </cell>
          <cell r="H1660" t="str">
            <v/>
          </cell>
          <cell r="Q1660" t="str">
            <v/>
          </cell>
        </row>
        <row r="1661">
          <cell r="F1661" t="str">
            <v/>
          </cell>
          <cell r="G1661" t="str">
            <v/>
          </cell>
          <cell r="H1661" t="str">
            <v/>
          </cell>
          <cell r="Q1661" t="str">
            <v/>
          </cell>
        </row>
        <row r="1662">
          <cell r="F1662" t="str">
            <v/>
          </cell>
          <cell r="G1662" t="str">
            <v/>
          </cell>
          <cell r="H1662" t="str">
            <v/>
          </cell>
          <cell r="Q1662" t="str">
            <v/>
          </cell>
        </row>
        <row r="1663">
          <cell r="F1663" t="str">
            <v/>
          </cell>
          <cell r="G1663" t="str">
            <v/>
          </cell>
          <cell r="H1663" t="str">
            <v/>
          </cell>
          <cell r="Q1663" t="str">
            <v/>
          </cell>
        </row>
        <row r="1664">
          <cell r="F1664" t="str">
            <v/>
          </cell>
          <cell r="G1664" t="str">
            <v/>
          </cell>
          <cell r="H1664" t="str">
            <v/>
          </cell>
          <cell r="Q1664" t="str">
            <v/>
          </cell>
        </row>
        <row r="1665">
          <cell r="F1665" t="str">
            <v/>
          </cell>
          <cell r="G1665" t="str">
            <v/>
          </cell>
          <cell r="H1665" t="str">
            <v/>
          </cell>
          <cell r="Q1665" t="str">
            <v/>
          </cell>
        </row>
        <row r="1666">
          <cell r="F1666" t="str">
            <v/>
          </cell>
          <cell r="G1666" t="str">
            <v/>
          </cell>
          <cell r="H1666" t="str">
            <v/>
          </cell>
          <cell r="Q1666" t="str">
            <v/>
          </cell>
        </row>
        <row r="1667">
          <cell r="F1667" t="str">
            <v/>
          </cell>
          <cell r="G1667" t="str">
            <v/>
          </cell>
          <cell r="H1667" t="str">
            <v/>
          </cell>
          <cell r="Q1667" t="str">
            <v/>
          </cell>
        </row>
        <row r="1668">
          <cell r="F1668" t="str">
            <v/>
          </cell>
          <cell r="G1668" t="str">
            <v/>
          </cell>
          <cell r="H1668" t="str">
            <v/>
          </cell>
          <cell r="Q1668" t="str">
            <v/>
          </cell>
        </row>
        <row r="1669">
          <cell r="F1669" t="str">
            <v/>
          </cell>
          <cell r="G1669" t="str">
            <v/>
          </cell>
          <cell r="H1669" t="str">
            <v/>
          </cell>
          <cell r="Q1669" t="str">
            <v/>
          </cell>
        </row>
        <row r="1670">
          <cell r="F1670" t="str">
            <v/>
          </cell>
          <cell r="G1670" t="str">
            <v/>
          </cell>
          <cell r="H1670" t="str">
            <v/>
          </cell>
          <cell r="Q1670" t="str">
            <v/>
          </cell>
        </row>
        <row r="1671">
          <cell r="F1671" t="str">
            <v/>
          </cell>
          <cell r="G1671" t="str">
            <v/>
          </cell>
          <cell r="H1671" t="str">
            <v/>
          </cell>
          <cell r="Q1671" t="str">
            <v/>
          </cell>
        </row>
        <row r="1672">
          <cell r="F1672" t="str">
            <v/>
          </cell>
          <cell r="G1672" t="str">
            <v/>
          </cell>
          <cell r="H1672" t="str">
            <v/>
          </cell>
          <cell r="Q1672" t="str">
            <v/>
          </cell>
        </row>
        <row r="1673">
          <cell r="F1673" t="str">
            <v/>
          </cell>
          <cell r="G1673" t="str">
            <v/>
          </cell>
          <cell r="H1673" t="str">
            <v/>
          </cell>
          <cell r="Q1673" t="str">
            <v/>
          </cell>
        </row>
        <row r="1674">
          <cell r="F1674" t="str">
            <v/>
          </cell>
          <cell r="G1674" t="str">
            <v/>
          </cell>
          <cell r="H1674" t="str">
            <v/>
          </cell>
          <cell r="Q1674" t="str">
            <v/>
          </cell>
        </row>
        <row r="1675">
          <cell r="F1675" t="str">
            <v/>
          </cell>
          <cell r="G1675" t="str">
            <v/>
          </cell>
          <cell r="H1675" t="str">
            <v/>
          </cell>
          <cell r="Q1675" t="str">
            <v/>
          </cell>
        </row>
        <row r="1676">
          <cell r="F1676" t="str">
            <v/>
          </cell>
          <cell r="G1676" t="str">
            <v/>
          </cell>
          <cell r="H1676" t="str">
            <v/>
          </cell>
          <cell r="Q1676" t="str">
            <v/>
          </cell>
        </row>
        <row r="1677">
          <cell r="F1677" t="str">
            <v/>
          </cell>
          <cell r="G1677" t="str">
            <v/>
          </cell>
          <cell r="H1677" t="str">
            <v/>
          </cell>
          <cell r="Q1677" t="str">
            <v/>
          </cell>
        </row>
        <row r="1678">
          <cell r="F1678" t="str">
            <v/>
          </cell>
          <cell r="G1678" t="str">
            <v/>
          </cell>
          <cell r="H1678" t="str">
            <v/>
          </cell>
          <cell r="Q1678" t="str">
            <v/>
          </cell>
        </row>
        <row r="1679">
          <cell r="F1679" t="str">
            <v/>
          </cell>
          <cell r="G1679" t="str">
            <v/>
          </cell>
          <cell r="H1679" t="str">
            <v/>
          </cell>
          <cell r="Q1679" t="str">
            <v/>
          </cell>
        </row>
        <row r="1680">
          <cell r="F1680" t="str">
            <v/>
          </cell>
          <cell r="G1680" t="str">
            <v/>
          </cell>
          <cell r="H1680" t="str">
            <v/>
          </cell>
          <cell r="Q1680" t="str">
            <v/>
          </cell>
        </row>
        <row r="1681">
          <cell r="F1681" t="str">
            <v/>
          </cell>
          <cell r="G1681" t="str">
            <v/>
          </cell>
          <cell r="H1681" t="str">
            <v/>
          </cell>
          <cell r="Q1681" t="str">
            <v/>
          </cell>
        </row>
        <row r="1682">
          <cell r="F1682" t="str">
            <v/>
          </cell>
          <cell r="G1682" t="str">
            <v/>
          </cell>
          <cell r="H1682" t="str">
            <v/>
          </cell>
          <cell r="Q1682" t="str">
            <v/>
          </cell>
        </row>
        <row r="1683">
          <cell r="F1683" t="str">
            <v/>
          </cell>
          <cell r="G1683" t="str">
            <v/>
          </cell>
          <cell r="H1683" t="str">
            <v/>
          </cell>
          <cell r="Q1683" t="str">
            <v/>
          </cell>
        </row>
        <row r="1684">
          <cell r="F1684" t="str">
            <v/>
          </cell>
          <cell r="G1684" t="str">
            <v/>
          </cell>
          <cell r="H1684" t="str">
            <v/>
          </cell>
          <cell r="Q1684" t="str">
            <v/>
          </cell>
        </row>
        <row r="1685">
          <cell r="F1685" t="str">
            <v/>
          </cell>
          <cell r="G1685" t="str">
            <v/>
          </cell>
          <cell r="H1685" t="str">
            <v/>
          </cell>
          <cell r="Q1685" t="str">
            <v/>
          </cell>
        </row>
        <row r="1686">
          <cell r="F1686" t="str">
            <v/>
          </cell>
          <cell r="G1686" t="str">
            <v/>
          </cell>
          <cell r="H1686" t="str">
            <v/>
          </cell>
          <cell r="Q1686" t="str">
            <v/>
          </cell>
        </row>
        <row r="1687">
          <cell r="F1687" t="str">
            <v/>
          </cell>
          <cell r="G1687" t="str">
            <v/>
          </cell>
          <cell r="H1687" t="str">
            <v/>
          </cell>
          <cell r="Q1687" t="str">
            <v/>
          </cell>
        </row>
        <row r="1688">
          <cell r="F1688" t="str">
            <v/>
          </cell>
          <cell r="G1688" t="str">
            <v/>
          </cell>
          <cell r="H1688" t="str">
            <v/>
          </cell>
          <cell r="Q1688" t="str">
            <v/>
          </cell>
        </row>
        <row r="1689">
          <cell r="F1689" t="str">
            <v/>
          </cell>
          <cell r="G1689" t="str">
            <v/>
          </cell>
          <cell r="H1689" t="str">
            <v/>
          </cell>
          <cell r="Q1689" t="str">
            <v/>
          </cell>
        </row>
        <row r="1690">
          <cell r="F1690" t="str">
            <v/>
          </cell>
          <cell r="G1690" t="str">
            <v/>
          </cell>
          <cell r="H1690" t="str">
            <v/>
          </cell>
          <cell r="Q1690" t="str">
            <v/>
          </cell>
        </row>
        <row r="1691">
          <cell r="F1691" t="str">
            <v/>
          </cell>
          <cell r="G1691" t="str">
            <v/>
          </cell>
          <cell r="H1691" t="str">
            <v/>
          </cell>
          <cell r="Q1691" t="str">
            <v/>
          </cell>
        </row>
        <row r="1692">
          <cell r="F1692" t="str">
            <v/>
          </cell>
          <cell r="G1692" t="str">
            <v/>
          </cell>
          <cell r="H1692" t="str">
            <v/>
          </cell>
          <cell r="Q1692" t="str">
            <v/>
          </cell>
        </row>
        <row r="1693">
          <cell r="F1693" t="str">
            <v/>
          </cell>
          <cell r="G1693" t="str">
            <v/>
          </cell>
          <cell r="H1693" t="str">
            <v/>
          </cell>
          <cell r="Q1693" t="str">
            <v/>
          </cell>
        </row>
        <row r="1694">
          <cell r="F1694" t="str">
            <v/>
          </cell>
          <cell r="G1694" t="str">
            <v/>
          </cell>
          <cell r="H1694" t="str">
            <v/>
          </cell>
          <cell r="Q1694" t="str">
            <v/>
          </cell>
        </row>
        <row r="1695">
          <cell r="F1695" t="str">
            <v/>
          </cell>
          <cell r="G1695" t="str">
            <v/>
          </cell>
          <cell r="H1695" t="str">
            <v/>
          </cell>
          <cell r="Q1695" t="str">
            <v/>
          </cell>
        </row>
        <row r="1696">
          <cell r="F1696" t="str">
            <v/>
          </cell>
          <cell r="G1696" t="str">
            <v/>
          </cell>
          <cell r="H1696" t="str">
            <v/>
          </cell>
          <cell r="Q1696" t="str">
            <v/>
          </cell>
        </row>
        <row r="1697">
          <cell r="F1697" t="str">
            <v/>
          </cell>
          <cell r="G1697" t="str">
            <v/>
          </cell>
          <cell r="H1697" t="str">
            <v/>
          </cell>
          <cell r="Q1697" t="str">
            <v/>
          </cell>
        </row>
        <row r="1698">
          <cell r="F1698" t="str">
            <v/>
          </cell>
          <cell r="G1698" t="str">
            <v/>
          </cell>
          <cell r="H1698" t="str">
            <v/>
          </cell>
          <cell r="Q1698" t="str">
            <v/>
          </cell>
        </row>
        <row r="1699">
          <cell r="F1699" t="str">
            <v/>
          </cell>
          <cell r="G1699" t="str">
            <v/>
          </cell>
          <cell r="H1699" t="str">
            <v/>
          </cell>
          <cell r="Q1699" t="str">
            <v/>
          </cell>
        </row>
        <row r="1700">
          <cell r="F1700" t="str">
            <v/>
          </cell>
          <cell r="G1700" t="str">
            <v/>
          </cell>
          <cell r="H1700" t="str">
            <v/>
          </cell>
          <cell r="Q1700" t="str">
            <v/>
          </cell>
        </row>
        <row r="1701">
          <cell r="F1701" t="str">
            <v/>
          </cell>
          <cell r="G1701" t="str">
            <v/>
          </cell>
          <cell r="H1701" t="str">
            <v/>
          </cell>
          <cell r="Q1701" t="str">
            <v/>
          </cell>
        </row>
        <row r="1702">
          <cell r="F1702" t="str">
            <v/>
          </cell>
          <cell r="G1702" t="str">
            <v/>
          </cell>
          <cell r="H1702" t="str">
            <v/>
          </cell>
          <cell r="Q1702" t="str">
            <v/>
          </cell>
        </row>
        <row r="1703">
          <cell r="F1703" t="str">
            <v/>
          </cell>
          <cell r="G1703" t="str">
            <v/>
          </cell>
          <cell r="H1703" t="str">
            <v/>
          </cell>
          <cell r="Q1703" t="str">
            <v/>
          </cell>
        </row>
        <row r="1704">
          <cell r="F1704" t="str">
            <v/>
          </cell>
          <cell r="G1704" t="str">
            <v/>
          </cell>
          <cell r="H1704" t="str">
            <v/>
          </cell>
          <cell r="Q1704" t="str">
            <v/>
          </cell>
        </row>
        <row r="1705">
          <cell r="F1705" t="str">
            <v/>
          </cell>
          <cell r="G1705" t="str">
            <v/>
          </cell>
          <cell r="H1705" t="str">
            <v/>
          </cell>
          <cell r="Q1705" t="str">
            <v/>
          </cell>
        </row>
        <row r="1706">
          <cell r="F1706" t="str">
            <v/>
          </cell>
          <cell r="G1706" t="str">
            <v/>
          </cell>
          <cell r="H1706" t="str">
            <v/>
          </cell>
          <cell r="Q1706" t="str">
            <v/>
          </cell>
        </row>
        <row r="1707">
          <cell r="F1707" t="str">
            <v/>
          </cell>
          <cell r="G1707" t="str">
            <v/>
          </cell>
          <cell r="H1707" t="str">
            <v/>
          </cell>
          <cell r="Q1707" t="str">
            <v/>
          </cell>
        </row>
        <row r="1708">
          <cell r="F1708" t="str">
            <v/>
          </cell>
          <cell r="G1708" t="str">
            <v/>
          </cell>
          <cell r="H1708" t="str">
            <v/>
          </cell>
          <cell r="Q1708" t="str">
            <v/>
          </cell>
        </row>
        <row r="1709">
          <cell r="F1709" t="str">
            <v/>
          </cell>
          <cell r="G1709" t="str">
            <v/>
          </cell>
          <cell r="H1709" t="str">
            <v/>
          </cell>
          <cell r="Q1709" t="str">
            <v/>
          </cell>
        </row>
        <row r="1710">
          <cell r="F1710" t="str">
            <v/>
          </cell>
          <cell r="G1710" t="str">
            <v/>
          </cell>
          <cell r="H1710" t="str">
            <v/>
          </cell>
          <cell r="Q1710" t="str">
            <v/>
          </cell>
        </row>
        <row r="1711">
          <cell r="F1711" t="str">
            <v/>
          </cell>
          <cell r="G1711" t="str">
            <v/>
          </cell>
          <cell r="H1711" t="str">
            <v/>
          </cell>
          <cell r="Q1711" t="str">
            <v/>
          </cell>
        </row>
        <row r="1712">
          <cell r="F1712" t="str">
            <v/>
          </cell>
          <cell r="G1712" t="str">
            <v/>
          </cell>
          <cell r="H1712" t="str">
            <v/>
          </cell>
          <cell r="Q1712" t="str">
            <v/>
          </cell>
        </row>
        <row r="1713">
          <cell r="F1713" t="str">
            <v/>
          </cell>
          <cell r="G1713" t="str">
            <v/>
          </cell>
          <cell r="H1713" t="str">
            <v/>
          </cell>
          <cell r="Q1713" t="str">
            <v/>
          </cell>
        </row>
        <row r="1714">
          <cell r="F1714" t="str">
            <v/>
          </cell>
          <cell r="G1714" t="str">
            <v/>
          </cell>
          <cell r="H1714" t="str">
            <v/>
          </cell>
          <cell r="Q1714" t="str">
            <v/>
          </cell>
        </row>
        <row r="1715">
          <cell r="F1715" t="str">
            <v/>
          </cell>
          <cell r="G1715" t="str">
            <v/>
          </cell>
          <cell r="H1715" t="str">
            <v/>
          </cell>
          <cell r="Q1715" t="str">
            <v/>
          </cell>
        </row>
        <row r="1716">
          <cell r="F1716" t="str">
            <v/>
          </cell>
          <cell r="G1716" t="str">
            <v/>
          </cell>
          <cell r="H1716" t="str">
            <v/>
          </cell>
          <cell r="Q1716" t="str">
            <v/>
          </cell>
        </row>
        <row r="1717">
          <cell r="F1717" t="str">
            <v/>
          </cell>
          <cell r="G1717" t="str">
            <v/>
          </cell>
          <cell r="H1717" t="str">
            <v/>
          </cell>
          <cell r="Q1717" t="str">
            <v/>
          </cell>
        </row>
        <row r="1718">
          <cell r="F1718" t="str">
            <v/>
          </cell>
          <cell r="G1718" t="str">
            <v/>
          </cell>
          <cell r="H1718" t="str">
            <v/>
          </cell>
          <cell r="Q1718" t="str">
            <v/>
          </cell>
        </row>
        <row r="1719">
          <cell r="F1719" t="str">
            <v/>
          </cell>
          <cell r="G1719" t="str">
            <v/>
          </cell>
          <cell r="H1719" t="str">
            <v/>
          </cell>
          <cell r="Q1719" t="str">
            <v/>
          </cell>
        </row>
        <row r="1720">
          <cell r="F1720" t="str">
            <v/>
          </cell>
          <cell r="G1720" t="str">
            <v/>
          </cell>
          <cell r="H1720" t="str">
            <v/>
          </cell>
          <cell r="Q1720" t="str">
            <v/>
          </cell>
        </row>
        <row r="1721">
          <cell r="F1721" t="str">
            <v/>
          </cell>
          <cell r="G1721" t="str">
            <v/>
          </cell>
          <cell r="H1721" t="str">
            <v/>
          </cell>
          <cell r="Q1721" t="str">
            <v/>
          </cell>
        </row>
        <row r="1722">
          <cell r="F1722" t="str">
            <v/>
          </cell>
          <cell r="G1722" t="str">
            <v/>
          </cell>
          <cell r="H1722" t="str">
            <v/>
          </cell>
          <cell r="Q1722" t="str">
            <v/>
          </cell>
        </row>
        <row r="1723">
          <cell r="F1723" t="str">
            <v/>
          </cell>
          <cell r="G1723" t="str">
            <v/>
          </cell>
          <cell r="H1723" t="str">
            <v/>
          </cell>
          <cell r="Q1723" t="str">
            <v/>
          </cell>
        </row>
        <row r="1724">
          <cell r="F1724" t="str">
            <v/>
          </cell>
          <cell r="G1724" t="str">
            <v/>
          </cell>
          <cell r="H1724" t="str">
            <v/>
          </cell>
          <cell r="Q1724" t="str">
            <v/>
          </cell>
        </row>
        <row r="1725">
          <cell r="F1725" t="str">
            <v/>
          </cell>
          <cell r="G1725" t="str">
            <v/>
          </cell>
          <cell r="H1725" t="str">
            <v/>
          </cell>
          <cell r="Q1725" t="str">
            <v/>
          </cell>
        </row>
        <row r="1726">
          <cell r="F1726" t="str">
            <v/>
          </cell>
          <cell r="G1726" t="str">
            <v/>
          </cell>
          <cell r="H1726" t="str">
            <v/>
          </cell>
          <cell r="Q1726" t="str">
            <v/>
          </cell>
        </row>
        <row r="1727">
          <cell r="F1727" t="str">
            <v/>
          </cell>
          <cell r="G1727" t="str">
            <v/>
          </cell>
          <cell r="H1727" t="str">
            <v/>
          </cell>
          <cell r="Q1727" t="str">
            <v/>
          </cell>
        </row>
        <row r="1728">
          <cell r="F1728" t="str">
            <v/>
          </cell>
          <cell r="G1728" t="str">
            <v/>
          </cell>
          <cell r="H1728" t="str">
            <v/>
          </cell>
          <cell r="Q1728" t="str">
            <v/>
          </cell>
        </row>
        <row r="1729">
          <cell r="F1729" t="str">
            <v/>
          </cell>
          <cell r="G1729" t="str">
            <v/>
          </cell>
          <cell r="H1729" t="str">
            <v/>
          </cell>
          <cell r="Q1729" t="str">
            <v/>
          </cell>
        </row>
        <row r="1730">
          <cell r="F1730" t="str">
            <v/>
          </cell>
          <cell r="G1730" t="str">
            <v/>
          </cell>
          <cell r="H1730" t="str">
            <v/>
          </cell>
          <cell r="Q1730" t="str">
            <v/>
          </cell>
        </row>
        <row r="1731">
          <cell r="F1731" t="str">
            <v/>
          </cell>
          <cell r="G1731" t="str">
            <v/>
          </cell>
          <cell r="H1731" t="str">
            <v/>
          </cell>
          <cell r="Q1731" t="str">
            <v/>
          </cell>
        </row>
        <row r="1732">
          <cell r="F1732" t="str">
            <v/>
          </cell>
          <cell r="G1732" t="str">
            <v/>
          </cell>
          <cell r="H1732" t="str">
            <v/>
          </cell>
          <cell r="Q1732" t="str">
            <v/>
          </cell>
        </row>
        <row r="1733">
          <cell r="F1733" t="str">
            <v/>
          </cell>
          <cell r="G1733" t="str">
            <v/>
          </cell>
          <cell r="H1733" t="str">
            <v/>
          </cell>
          <cell r="Q1733" t="str">
            <v/>
          </cell>
        </row>
        <row r="1734">
          <cell r="F1734" t="str">
            <v/>
          </cell>
          <cell r="G1734" t="str">
            <v/>
          </cell>
          <cell r="H1734" t="str">
            <v/>
          </cell>
          <cell r="Q1734" t="str">
            <v/>
          </cell>
        </row>
        <row r="1735">
          <cell r="F1735" t="str">
            <v/>
          </cell>
          <cell r="G1735" t="str">
            <v/>
          </cell>
          <cell r="H1735" t="str">
            <v/>
          </cell>
          <cell r="Q1735" t="str">
            <v/>
          </cell>
        </row>
        <row r="1736">
          <cell r="F1736" t="str">
            <v/>
          </cell>
          <cell r="G1736" t="str">
            <v/>
          </cell>
          <cell r="H1736" t="str">
            <v/>
          </cell>
          <cell r="Q1736" t="str">
            <v/>
          </cell>
        </row>
        <row r="1737">
          <cell r="F1737" t="str">
            <v/>
          </cell>
          <cell r="G1737" t="str">
            <v/>
          </cell>
          <cell r="H1737" t="str">
            <v/>
          </cell>
          <cell r="Q1737" t="str">
            <v/>
          </cell>
        </row>
        <row r="1738">
          <cell r="F1738" t="str">
            <v/>
          </cell>
          <cell r="G1738" t="str">
            <v/>
          </cell>
          <cell r="H1738" t="str">
            <v/>
          </cell>
          <cell r="Q1738" t="str">
            <v/>
          </cell>
        </row>
        <row r="1739">
          <cell r="F1739" t="str">
            <v/>
          </cell>
          <cell r="G1739" t="str">
            <v/>
          </cell>
          <cell r="H1739" t="str">
            <v/>
          </cell>
          <cell r="Q1739" t="str">
            <v/>
          </cell>
        </row>
        <row r="1740">
          <cell r="F1740" t="str">
            <v/>
          </cell>
          <cell r="G1740" t="str">
            <v/>
          </cell>
          <cell r="H1740" t="str">
            <v/>
          </cell>
          <cell r="Q1740" t="str">
            <v/>
          </cell>
        </row>
        <row r="1741">
          <cell r="F1741" t="str">
            <v/>
          </cell>
          <cell r="G1741" t="str">
            <v/>
          </cell>
          <cell r="H1741" t="str">
            <v/>
          </cell>
          <cell r="Q1741" t="str">
            <v/>
          </cell>
        </row>
        <row r="1742">
          <cell r="F1742" t="str">
            <v/>
          </cell>
          <cell r="G1742" t="str">
            <v/>
          </cell>
          <cell r="H1742" t="str">
            <v/>
          </cell>
          <cell r="Q1742" t="str">
            <v/>
          </cell>
        </row>
        <row r="1743">
          <cell r="F1743" t="str">
            <v/>
          </cell>
          <cell r="G1743" t="str">
            <v/>
          </cell>
          <cell r="H1743" t="str">
            <v/>
          </cell>
          <cell r="Q1743" t="str">
            <v/>
          </cell>
        </row>
        <row r="1744">
          <cell r="F1744" t="str">
            <v/>
          </cell>
          <cell r="G1744" t="str">
            <v/>
          </cell>
          <cell r="H1744" t="str">
            <v/>
          </cell>
          <cell r="Q1744" t="str">
            <v/>
          </cell>
        </row>
        <row r="1745">
          <cell r="F1745" t="str">
            <v/>
          </cell>
          <cell r="G1745" t="str">
            <v/>
          </cell>
          <cell r="H1745" t="str">
            <v/>
          </cell>
          <cell r="Q1745" t="str">
            <v/>
          </cell>
        </row>
        <row r="1746">
          <cell r="F1746" t="str">
            <v/>
          </cell>
          <cell r="G1746" t="str">
            <v/>
          </cell>
          <cell r="H1746" t="str">
            <v/>
          </cell>
          <cell r="Q1746" t="str">
            <v/>
          </cell>
        </row>
        <row r="1747">
          <cell r="F1747" t="str">
            <v/>
          </cell>
          <cell r="G1747" t="str">
            <v/>
          </cell>
          <cell r="H1747" t="str">
            <v/>
          </cell>
          <cell r="Q1747" t="str">
            <v/>
          </cell>
        </row>
        <row r="1748">
          <cell r="F1748" t="str">
            <v/>
          </cell>
          <cell r="G1748" t="str">
            <v/>
          </cell>
          <cell r="H1748" t="str">
            <v/>
          </cell>
          <cell r="Q1748" t="str">
            <v/>
          </cell>
        </row>
        <row r="1749">
          <cell r="F1749" t="str">
            <v/>
          </cell>
          <cell r="G1749" t="str">
            <v/>
          </cell>
          <cell r="H1749" t="str">
            <v/>
          </cell>
          <cell r="Q1749" t="str">
            <v/>
          </cell>
        </row>
        <row r="1750">
          <cell r="F1750" t="str">
            <v/>
          </cell>
          <cell r="G1750" t="str">
            <v/>
          </cell>
          <cell r="H1750" t="str">
            <v/>
          </cell>
          <cell r="Q1750" t="str">
            <v/>
          </cell>
        </row>
        <row r="1751">
          <cell r="F1751" t="str">
            <v/>
          </cell>
          <cell r="G1751" t="str">
            <v/>
          </cell>
          <cell r="H1751" t="str">
            <v/>
          </cell>
          <cell r="Q1751" t="str">
            <v/>
          </cell>
        </row>
        <row r="1752">
          <cell r="F1752" t="str">
            <v/>
          </cell>
          <cell r="G1752" t="str">
            <v/>
          </cell>
          <cell r="H1752" t="str">
            <v/>
          </cell>
          <cell r="Q1752" t="str">
            <v/>
          </cell>
        </row>
        <row r="1753">
          <cell r="F1753" t="str">
            <v/>
          </cell>
          <cell r="G1753" t="str">
            <v/>
          </cell>
          <cell r="H1753" t="str">
            <v/>
          </cell>
          <cell r="Q1753" t="str">
            <v/>
          </cell>
        </row>
        <row r="1754">
          <cell r="F1754" t="str">
            <v/>
          </cell>
          <cell r="G1754" t="str">
            <v/>
          </cell>
          <cell r="H1754" t="str">
            <v/>
          </cell>
          <cell r="Q1754" t="str">
            <v/>
          </cell>
        </row>
        <row r="1755">
          <cell r="F1755" t="str">
            <v/>
          </cell>
          <cell r="G1755" t="str">
            <v/>
          </cell>
          <cell r="H1755" t="str">
            <v/>
          </cell>
          <cell r="Q1755" t="str">
            <v/>
          </cell>
        </row>
        <row r="1756">
          <cell r="F1756" t="str">
            <v/>
          </cell>
          <cell r="G1756" t="str">
            <v/>
          </cell>
          <cell r="H1756" t="str">
            <v/>
          </cell>
          <cell r="Q1756" t="str">
            <v/>
          </cell>
        </row>
        <row r="1757">
          <cell r="F1757" t="str">
            <v/>
          </cell>
          <cell r="G1757" t="str">
            <v/>
          </cell>
          <cell r="H1757" t="str">
            <v/>
          </cell>
          <cell r="Q1757" t="str">
            <v/>
          </cell>
        </row>
        <row r="1758">
          <cell r="F1758" t="str">
            <v/>
          </cell>
          <cell r="G1758" t="str">
            <v/>
          </cell>
          <cell r="H1758" t="str">
            <v/>
          </cell>
          <cell r="Q1758" t="str">
            <v/>
          </cell>
        </row>
        <row r="1759">
          <cell r="F1759" t="str">
            <v/>
          </cell>
          <cell r="G1759" t="str">
            <v/>
          </cell>
          <cell r="H1759" t="str">
            <v/>
          </cell>
          <cell r="Q1759" t="str">
            <v/>
          </cell>
        </row>
        <row r="1760">
          <cell r="F1760" t="str">
            <v/>
          </cell>
          <cell r="G1760" t="str">
            <v/>
          </cell>
          <cell r="H1760" t="str">
            <v/>
          </cell>
          <cell r="Q1760" t="str">
            <v/>
          </cell>
        </row>
        <row r="1761">
          <cell r="F1761" t="str">
            <v/>
          </cell>
          <cell r="G1761" t="str">
            <v/>
          </cell>
          <cell r="H1761" t="str">
            <v/>
          </cell>
          <cell r="Q1761" t="str">
            <v/>
          </cell>
        </row>
        <row r="1762">
          <cell r="F1762" t="str">
            <v/>
          </cell>
          <cell r="G1762" t="str">
            <v/>
          </cell>
          <cell r="H1762" t="str">
            <v/>
          </cell>
          <cell r="Q1762" t="str">
            <v/>
          </cell>
        </row>
        <row r="1763">
          <cell r="F1763" t="str">
            <v/>
          </cell>
          <cell r="G1763" t="str">
            <v/>
          </cell>
          <cell r="H1763" t="str">
            <v/>
          </cell>
          <cell r="Q1763" t="str">
            <v/>
          </cell>
        </row>
        <row r="1764">
          <cell r="F1764" t="str">
            <v/>
          </cell>
          <cell r="G1764" t="str">
            <v/>
          </cell>
          <cell r="H1764" t="str">
            <v/>
          </cell>
          <cell r="Q1764" t="str">
            <v/>
          </cell>
        </row>
        <row r="1765">
          <cell r="A1765" t="str">
            <v>장비</v>
          </cell>
          <cell r="F1765" t="str">
            <v/>
          </cell>
          <cell r="G1765" t="str">
            <v/>
          </cell>
          <cell r="H1765" t="str">
            <v/>
          </cell>
          <cell r="Q1765" t="str">
            <v/>
          </cell>
        </row>
        <row r="1766">
          <cell r="A1766" t="str">
            <v>임영중기</v>
          </cell>
          <cell r="B1766" t="str">
            <v>원주시 소초면 장수1로16</v>
          </cell>
          <cell r="C1766" t="str">
            <v>127-87-02532</v>
          </cell>
          <cell r="D1766" t="str">
            <v>033-766-2001</v>
          </cell>
          <cell r="F1766" t="str">
            <v>여</v>
          </cell>
          <cell r="G1766">
            <v>115</v>
          </cell>
          <cell r="H1766" t="str">
            <v>-</v>
          </cell>
          <cell r="I1766" t="str">
            <v>임영민</v>
          </cell>
          <cell r="J1766" t="str">
            <v>크레인25</v>
          </cell>
          <cell r="K1766" t="str">
            <v>원주크레인</v>
          </cell>
          <cell r="L1766" t="str">
            <v>301-0321-4371-61</v>
          </cell>
          <cell r="M1766" t="str">
            <v>농협은행</v>
          </cell>
          <cell r="N1766" t="str">
            <v>임영중기원주크레인</v>
          </cell>
          <cell r="Q1766" t="str">
            <v/>
          </cell>
        </row>
        <row r="1767">
          <cell r="A1767" t="str">
            <v>장세길</v>
          </cell>
          <cell r="B1767" t="str">
            <v>평택시 안중읍 송담1로85,109동1301호</v>
          </cell>
          <cell r="C1767" t="str">
            <v>690415-1047417</v>
          </cell>
          <cell r="D1767" t="str">
            <v>010-6243-9393</v>
          </cell>
          <cell r="F1767" t="str">
            <v>남</v>
          </cell>
          <cell r="G1767">
            <v>58</v>
          </cell>
          <cell r="H1767" t="str">
            <v>-</v>
          </cell>
          <cell r="J1767" t="str">
            <v>카고25</v>
          </cell>
          <cell r="K1767" t="str">
            <v>원주크레인</v>
          </cell>
          <cell r="O1767">
            <v>41634</v>
          </cell>
          <cell r="P1767">
            <v>8243</v>
          </cell>
          <cell r="Q1767" t="str">
            <v/>
          </cell>
          <cell r="S1767">
            <v>45888</v>
          </cell>
          <cell r="T1767">
            <v>45888</v>
          </cell>
          <cell r="V1767" t="str">
            <v>크레인(운전원)</v>
          </cell>
        </row>
        <row r="1768">
          <cell r="A1768" t="str">
            <v>이규성</v>
          </cell>
          <cell r="B1768" t="str">
            <v>원주시 월운정길52,반곡동</v>
          </cell>
          <cell r="C1768" t="str">
            <v>730509-1221239</v>
          </cell>
          <cell r="D1768" t="str">
            <v>010-9223-7585</v>
          </cell>
          <cell r="F1768" t="str">
            <v>남</v>
          </cell>
          <cell r="G1768">
            <v>54</v>
          </cell>
          <cell r="H1768" t="str">
            <v>-</v>
          </cell>
          <cell r="J1768" t="str">
            <v>카고25</v>
          </cell>
          <cell r="K1768" t="str">
            <v>원주크레인</v>
          </cell>
          <cell r="O1768">
            <v>41785</v>
          </cell>
          <cell r="P1768">
            <v>5057</v>
          </cell>
          <cell r="Q1768" t="str">
            <v/>
          </cell>
          <cell r="S1768">
            <v>45888</v>
          </cell>
          <cell r="T1768">
            <v>45888</v>
          </cell>
          <cell r="V1768" t="str">
            <v>크레인(운전원)</v>
          </cell>
        </row>
        <row r="1769">
          <cell r="A1769" t="str">
            <v>이승빈</v>
          </cell>
          <cell r="B1769" t="str">
            <v>원주시 모란1길51,104-1403</v>
          </cell>
          <cell r="C1769" t="str">
            <v>880605-1332915</v>
          </cell>
          <cell r="D1769" t="str">
            <v>010-2692-3415</v>
          </cell>
          <cell r="F1769" t="str">
            <v>남</v>
          </cell>
          <cell r="G1769">
            <v>39</v>
          </cell>
          <cell r="H1769" t="str">
            <v>-</v>
          </cell>
          <cell r="J1769" t="str">
            <v>크레인50</v>
          </cell>
          <cell r="K1769" t="str">
            <v>원주크레인</v>
          </cell>
          <cell r="O1769">
            <v>42356</v>
          </cell>
          <cell r="P1769">
            <v>8043</v>
          </cell>
          <cell r="Q1769" t="str">
            <v/>
          </cell>
          <cell r="S1769">
            <v>45898</v>
          </cell>
          <cell r="T1769">
            <v>45898</v>
          </cell>
          <cell r="V1769" t="str">
            <v>크레인(운전원)</v>
          </cell>
        </row>
        <row r="1770">
          <cell r="A1770" t="str">
            <v>윤정석</v>
          </cell>
          <cell r="B1770" t="str">
            <v>원주시 모란1길51,103-1002</v>
          </cell>
          <cell r="C1770" t="str">
            <v>761128-1344210</v>
          </cell>
          <cell r="D1770" t="str">
            <v>010-5495-1966</v>
          </cell>
          <cell r="F1770" t="str">
            <v>남</v>
          </cell>
          <cell r="G1770">
            <v>51</v>
          </cell>
          <cell r="H1770" t="str">
            <v>-</v>
          </cell>
          <cell r="J1770" t="str">
            <v>크레인75</v>
          </cell>
          <cell r="K1770" t="str">
            <v>원주크레인</v>
          </cell>
          <cell r="O1770">
            <v>41683</v>
          </cell>
          <cell r="P1770">
            <v>8052</v>
          </cell>
          <cell r="Q1770" t="str">
            <v/>
          </cell>
          <cell r="S1770">
            <v>45894</v>
          </cell>
          <cell r="T1770">
            <v>45894</v>
          </cell>
          <cell r="V1770" t="str">
            <v>크레인(운전원)</v>
          </cell>
        </row>
        <row r="1771">
          <cell r="A1771" t="str">
            <v>김창수</v>
          </cell>
          <cell r="B1771" t="str">
            <v>안산시 단원구 선부로166,120-502</v>
          </cell>
          <cell r="C1771" t="str">
            <v>701128-1668628</v>
          </cell>
          <cell r="D1771" t="str">
            <v>010-3679-7897</v>
          </cell>
          <cell r="F1771" t="str">
            <v>남</v>
          </cell>
          <cell r="G1771">
            <v>57</v>
          </cell>
          <cell r="H1771" t="str">
            <v>-</v>
          </cell>
          <cell r="J1771" t="str">
            <v>크레인100</v>
          </cell>
          <cell r="K1771" t="str">
            <v>원주크레인</v>
          </cell>
          <cell r="O1771">
            <v>41415</v>
          </cell>
          <cell r="Q1771" t="str">
            <v/>
          </cell>
          <cell r="R1771">
            <v>45915</v>
          </cell>
          <cell r="S1771">
            <v>45915</v>
          </cell>
          <cell r="T1771">
            <v>45915</v>
          </cell>
          <cell r="V1771" t="str">
            <v>크레인(운전원)</v>
          </cell>
        </row>
        <row r="1772">
          <cell r="A1772" t="str">
            <v>전상대</v>
          </cell>
          <cell r="B1772" t="str">
            <v>원주시 문막읍 동화초교길34-3</v>
          </cell>
          <cell r="C1772" t="str">
            <v>710326-1345426</v>
          </cell>
          <cell r="F1772" t="str">
            <v>남</v>
          </cell>
          <cell r="G1772">
            <v>56</v>
          </cell>
          <cell r="H1772" t="str">
            <v>-</v>
          </cell>
          <cell r="J1772" t="str">
            <v>크레인65</v>
          </cell>
          <cell r="K1772" t="str">
            <v>원주크레인</v>
          </cell>
          <cell r="O1772">
            <v>41676</v>
          </cell>
          <cell r="P1772">
            <v>5932</v>
          </cell>
          <cell r="Q1772" t="str">
            <v/>
          </cell>
          <cell r="S1772">
            <v>45924</v>
          </cell>
          <cell r="T1772">
            <v>45924</v>
          </cell>
          <cell r="V1772" t="str">
            <v>크레인(운전원)</v>
          </cell>
        </row>
        <row r="1773">
          <cell r="A1773" t="str">
            <v>이석진</v>
          </cell>
          <cell r="B1773" t="str">
            <v>경기도 이천시 부발읍 경출대로 2177,104-1403(청구@)</v>
          </cell>
          <cell r="C1773" t="str">
            <v>751028-1168112</v>
          </cell>
          <cell r="D1773" t="str">
            <v>010-3808-7580</v>
          </cell>
          <cell r="F1773" t="str">
            <v>남</v>
          </cell>
          <cell r="G1773">
            <v>52</v>
          </cell>
          <cell r="H1773" t="str">
            <v>-</v>
          </cell>
          <cell r="J1773" t="str">
            <v>크레인65</v>
          </cell>
          <cell r="K1773" t="str">
            <v>원주크레인</v>
          </cell>
          <cell r="Q1773" t="str">
            <v/>
          </cell>
          <cell r="R1773">
            <v>45953</v>
          </cell>
          <cell r="S1773">
            <v>45953</v>
          </cell>
          <cell r="T1773">
            <v>45953</v>
          </cell>
          <cell r="V1773" t="str">
            <v>크레인(운전원)</v>
          </cell>
        </row>
        <row r="1774">
          <cell r="A1774" t="str">
            <v>황수현</v>
          </cell>
          <cell r="B1774" t="str">
            <v>전라남도 진도 의신면 금갑길92</v>
          </cell>
          <cell r="C1774" t="str">
            <v>770313-1665816</v>
          </cell>
          <cell r="D1774" t="str">
            <v>010-8682-4717</v>
          </cell>
          <cell r="F1774" t="str">
            <v>남</v>
          </cell>
          <cell r="G1774">
            <v>50</v>
          </cell>
          <cell r="H1774" t="str">
            <v>-</v>
          </cell>
          <cell r="J1774" t="str">
            <v>카고5톤</v>
          </cell>
          <cell r="K1774" t="str">
            <v>원주크레인</v>
          </cell>
          <cell r="O1774">
            <v>45792</v>
          </cell>
          <cell r="R1774">
            <v>46002</v>
          </cell>
          <cell r="S1774">
            <v>46002</v>
          </cell>
          <cell r="T1774">
            <v>46002</v>
          </cell>
          <cell r="V1774" t="str">
            <v>크레인(운전원)</v>
          </cell>
        </row>
        <row r="1775">
          <cell r="A1775" t="str">
            <v>박세희</v>
          </cell>
          <cell r="B1775" t="str">
            <v>강원 원주 나비허리길188,804-110</v>
          </cell>
          <cell r="C1775" t="str">
            <v>740205-1333219</v>
          </cell>
          <cell r="D1775" t="str">
            <v>010-4244-1837</v>
          </cell>
          <cell r="F1775" t="str">
            <v>남</v>
          </cell>
          <cell r="G1775">
            <v>53</v>
          </cell>
          <cell r="H1775" t="str">
            <v>-</v>
          </cell>
          <cell r="J1775" t="str">
            <v>크레인100</v>
          </cell>
          <cell r="K1775" t="str">
            <v>원주크레인</v>
          </cell>
          <cell r="O1775">
            <v>41793</v>
          </cell>
          <cell r="R1775">
            <v>46009</v>
          </cell>
          <cell r="S1775">
            <v>46009</v>
          </cell>
          <cell r="T1775">
            <v>46009</v>
          </cell>
          <cell r="V1775" t="str">
            <v>크레인(운전원)</v>
          </cell>
        </row>
        <row r="1776">
          <cell r="A1776" t="str">
            <v>김병준장</v>
          </cell>
          <cell r="B1776" t="str">
            <v>경기 양평군 용문면 화선로250-3</v>
          </cell>
          <cell r="C1776" t="str">
            <v>791205-1245421</v>
          </cell>
          <cell r="D1776" t="str">
            <v>010-8236-0199</v>
          </cell>
          <cell r="F1776" t="str">
            <v>남</v>
          </cell>
          <cell r="G1776">
            <v>48</v>
          </cell>
          <cell r="H1776" t="str">
            <v>-</v>
          </cell>
          <cell r="J1776" t="str">
            <v>카고25</v>
          </cell>
          <cell r="K1776" t="str">
            <v>원주크레인</v>
          </cell>
          <cell r="O1776">
            <v>45370</v>
          </cell>
          <cell r="R1776">
            <v>46093</v>
          </cell>
          <cell r="S1776">
            <v>46093</v>
          </cell>
          <cell r="T1776">
            <v>46093</v>
          </cell>
          <cell r="V1776" t="str">
            <v>크레인(운전원)</v>
          </cell>
        </row>
        <row r="1777">
          <cell r="A1777" t="str">
            <v>황승현</v>
          </cell>
          <cell r="B1777" t="str">
            <v>강원 원주 치악로 2033, 802-1506</v>
          </cell>
          <cell r="C1777" t="str">
            <v>750719-1268319</v>
          </cell>
          <cell r="D1777" t="str">
            <v>010-5041-0961</v>
          </cell>
          <cell r="E1777">
            <v>700000</v>
          </cell>
          <cell r="F1777" t="str">
            <v>남</v>
          </cell>
          <cell r="G1777">
            <v>52</v>
          </cell>
          <cell r="H1777" t="str">
            <v>-</v>
          </cell>
          <cell r="J1777" t="str">
            <v>크레인</v>
          </cell>
          <cell r="K1777" t="str">
            <v>공사크레인</v>
          </cell>
          <cell r="O1777">
            <v>43158</v>
          </cell>
          <cell r="R1777">
            <v>46153</v>
          </cell>
          <cell r="S1777">
            <v>46153</v>
          </cell>
          <cell r="T1777">
            <v>46153</v>
          </cell>
          <cell r="V1777" t="str">
            <v>크레인(운전원)</v>
          </cell>
        </row>
        <row r="1778">
          <cell r="A1778" t="str">
            <v>김정민</v>
          </cell>
          <cell r="B1778" t="str">
            <v>강원 원주 서원대로 308, 202-601</v>
          </cell>
          <cell r="C1778" t="str">
            <v>840816-1813510</v>
          </cell>
          <cell r="D1778" t="str">
            <v>010-9847-0053</v>
          </cell>
          <cell r="F1778" t="str">
            <v>남</v>
          </cell>
          <cell r="G1778">
            <v>43</v>
          </cell>
          <cell r="H1778" t="str">
            <v>-</v>
          </cell>
          <cell r="J1778" t="str">
            <v>크레인</v>
          </cell>
          <cell r="K1778" t="str">
            <v>원주크레인</v>
          </cell>
          <cell r="O1778">
            <v>45076</v>
          </cell>
          <cell r="R1778">
            <v>46153</v>
          </cell>
          <cell r="S1778">
            <v>46153</v>
          </cell>
          <cell r="T1778">
            <v>46153</v>
          </cell>
          <cell r="V1778" t="str">
            <v>크레인(운전원)</v>
          </cell>
        </row>
        <row r="1779">
          <cell r="A1779" t="str">
            <v>이창훈</v>
          </cell>
          <cell r="B1779" t="str">
            <v>여주 세종로 375-54 이든빌 305호</v>
          </cell>
          <cell r="C1779" t="str">
            <v>960402-1069051</v>
          </cell>
          <cell r="D1779" t="str">
            <v>010-4674-6241</v>
          </cell>
          <cell r="F1779" t="str">
            <v>남</v>
          </cell>
          <cell r="G1779">
            <v>31</v>
          </cell>
          <cell r="H1779" t="str">
            <v>-</v>
          </cell>
          <cell r="J1779" t="str">
            <v>크레인</v>
          </cell>
          <cell r="K1779" t="str">
            <v>원주크레인</v>
          </cell>
          <cell r="O1779">
            <v>45579</v>
          </cell>
          <cell r="R1779">
            <v>46153</v>
          </cell>
          <cell r="S1779">
            <v>46153</v>
          </cell>
          <cell r="T1779">
            <v>46153</v>
          </cell>
          <cell r="V1779" t="str">
            <v>크레인(운전원)</v>
          </cell>
        </row>
        <row r="1780">
          <cell r="A1780" t="str">
            <v>전병찬</v>
          </cell>
          <cell r="B1780" t="str">
            <v>경기 양평 양평 중앙로91번길6</v>
          </cell>
          <cell r="C1780" t="str">
            <v>030710-3244719</v>
          </cell>
          <cell r="D1780" t="str">
            <v>010-2578-2445</v>
          </cell>
          <cell r="F1780" t="str">
            <v>남</v>
          </cell>
          <cell r="G1780">
            <v>24</v>
          </cell>
          <cell r="H1780" t="str">
            <v>-</v>
          </cell>
          <cell r="J1780" t="str">
            <v>크레인</v>
          </cell>
          <cell r="K1780" t="str">
            <v>원주크레인</v>
          </cell>
          <cell r="O1780">
            <v>45377</v>
          </cell>
          <cell r="R1780">
            <v>46174</v>
          </cell>
          <cell r="S1780">
            <v>46174</v>
          </cell>
          <cell r="T1780">
            <v>46174</v>
          </cell>
          <cell r="V1780" t="str">
            <v>크레인(운전원)</v>
          </cell>
        </row>
        <row r="1781">
          <cell r="A1781" t="str">
            <v>박원석</v>
          </cell>
          <cell r="B1781" t="str">
            <v>강원 속초 미시령로 3359-5, 303-1404</v>
          </cell>
          <cell r="C1781" t="str">
            <v>680313-1233018</v>
          </cell>
          <cell r="D1781" t="str">
            <v>010-2779-8190</v>
          </cell>
          <cell r="F1781" t="str">
            <v>남</v>
          </cell>
          <cell r="G1781">
            <v>59</v>
          </cell>
          <cell r="H1781" t="str">
            <v>-</v>
          </cell>
          <cell r="J1781" t="str">
            <v>크레인</v>
          </cell>
          <cell r="K1781" t="str">
            <v>원주크레인</v>
          </cell>
          <cell r="O1781">
            <v>41743</v>
          </cell>
          <cell r="R1781">
            <v>46174</v>
          </cell>
          <cell r="S1781">
            <v>46174</v>
          </cell>
          <cell r="T1781">
            <v>46174</v>
          </cell>
          <cell r="V1781" t="str">
            <v>크레인(운전원)</v>
          </cell>
        </row>
        <row r="1782">
          <cell r="A1782" t="str">
            <v>강성철</v>
          </cell>
          <cell r="B1782" t="str">
            <v>강원 원주시 단구로 416, 404-807</v>
          </cell>
          <cell r="C1782" t="str">
            <v>710303-1624636</v>
          </cell>
          <cell r="D1782" t="str">
            <v>010-2517-5809</v>
          </cell>
          <cell r="F1782" t="str">
            <v>남</v>
          </cell>
          <cell r="G1782">
            <v>56</v>
          </cell>
          <cell r="H1782" t="str">
            <v>-</v>
          </cell>
          <cell r="J1782" t="str">
            <v>크레인</v>
          </cell>
          <cell r="K1782" t="str">
            <v>원주크레인</v>
          </cell>
          <cell r="O1782">
            <v>41718</v>
          </cell>
          <cell r="R1782">
            <v>46183</v>
          </cell>
          <cell r="S1782">
            <v>46183</v>
          </cell>
          <cell r="T1782">
            <v>46183</v>
          </cell>
          <cell r="V1782" t="str">
            <v>크레인(운전원)</v>
          </cell>
        </row>
        <row r="1790">
          <cell r="F1790" t="str">
            <v/>
          </cell>
          <cell r="G1790" t="str">
            <v/>
          </cell>
          <cell r="H1790" t="str">
            <v/>
          </cell>
          <cell r="Q1790" t="str">
            <v/>
          </cell>
        </row>
        <row r="1791">
          <cell r="A1791" t="str">
            <v>백인우</v>
          </cell>
          <cell r="B1791" t="str">
            <v>인천 서구 경명대로 706번길 4-1 B-301</v>
          </cell>
          <cell r="C1791" t="str">
            <v>940328-1113135</v>
          </cell>
          <cell r="D1791" t="str">
            <v>010-7531-3331</v>
          </cell>
          <cell r="F1791" t="str">
            <v>남</v>
          </cell>
          <cell r="G1791">
            <v>33</v>
          </cell>
          <cell r="H1791" t="str">
            <v>-</v>
          </cell>
          <cell r="J1791" t="str">
            <v>하이랜더</v>
          </cell>
          <cell r="K1791" t="str">
            <v>승일하이랜더</v>
          </cell>
          <cell r="O1791">
            <v>44852</v>
          </cell>
          <cell r="R1791">
            <v>46060</v>
          </cell>
          <cell r="S1791">
            <v>46060</v>
          </cell>
          <cell r="T1791">
            <v>46060</v>
          </cell>
          <cell r="V1791" t="str">
            <v>건설기계운전원</v>
          </cell>
        </row>
        <row r="1792">
          <cell r="A1792" t="str">
            <v>김광우</v>
          </cell>
          <cell r="B1792" t="str">
            <v>경기 오산시 가수행복로 55-5,1204-1001</v>
          </cell>
          <cell r="C1792" t="str">
            <v>820102-1665824</v>
          </cell>
          <cell r="D1792" t="str">
            <v>010-3727-0181</v>
          </cell>
          <cell r="F1792" t="str">
            <v>남</v>
          </cell>
          <cell r="G1792">
            <v>45</v>
          </cell>
          <cell r="H1792" t="str">
            <v>-</v>
          </cell>
          <cell r="J1792" t="str">
            <v>지게차</v>
          </cell>
          <cell r="K1792" t="str">
            <v>승일하이랜더</v>
          </cell>
          <cell r="O1792">
            <v>44970</v>
          </cell>
          <cell r="R1792">
            <v>46060</v>
          </cell>
          <cell r="S1792">
            <v>46060</v>
          </cell>
          <cell r="T1792">
            <v>46060</v>
          </cell>
          <cell r="V1792" t="str">
            <v>건설기계운전원</v>
          </cell>
        </row>
        <row r="1793">
          <cell r="A1793" t="str">
            <v>김광철</v>
          </cell>
          <cell r="B1793" t="str">
            <v>경기 고양시 덕양구 푸른마을로55 605 1107</v>
          </cell>
          <cell r="C1793" t="str">
            <v>750906-1665811</v>
          </cell>
          <cell r="D1793" t="str">
            <v>010-8828-6183</v>
          </cell>
          <cell r="F1793" t="str">
            <v>남</v>
          </cell>
          <cell r="G1793">
            <v>52</v>
          </cell>
          <cell r="H1793" t="str">
            <v>-</v>
          </cell>
          <cell r="J1793" t="str">
            <v>하이랜더</v>
          </cell>
          <cell r="K1793" t="str">
            <v>승일하이랜더</v>
          </cell>
          <cell r="O1793">
            <v>41380</v>
          </cell>
          <cell r="R1793">
            <v>46081</v>
          </cell>
          <cell r="S1793">
            <v>46081</v>
          </cell>
          <cell r="T1793">
            <v>46081</v>
          </cell>
          <cell r="V1793" t="str">
            <v>건설기계운전원</v>
          </cell>
        </row>
        <row r="1794">
          <cell r="F1794" t="str">
            <v/>
          </cell>
          <cell r="G1794" t="str">
            <v/>
          </cell>
          <cell r="H1794" t="str">
            <v/>
          </cell>
          <cell r="Q1794" t="str">
            <v/>
          </cell>
        </row>
        <row r="1795">
          <cell r="F1795" t="str">
            <v/>
          </cell>
          <cell r="G1795" t="str">
            <v/>
          </cell>
          <cell r="H1795" t="str">
            <v/>
          </cell>
          <cell r="Q1795" t="str">
            <v/>
          </cell>
        </row>
        <row r="1797">
          <cell r="A1797" t="str">
            <v>유승환</v>
          </cell>
          <cell r="B1797" t="str">
            <v>강원 원주 늘품로38, 204-205</v>
          </cell>
          <cell r="C1797" t="str">
            <v>910518-1267719</v>
          </cell>
          <cell r="D1797" t="str">
            <v>010-5896-9646</v>
          </cell>
          <cell r="E1797">
            <v>500000</v>
          </cell>
          <cell r="F1797" t="str">
            <v>남</v>
          </cell>
          <cell r="G1797">
            <v>36</v>
          </cell>
          <cell r="H1797" t="str">
            <v>-</v>
          </cell>
          <cell r="J1797" t="str">
            <v>스카이3.5</v>
          </cell>
          <cell r="K1797" t="str">
            <v>와이스카이</v>
          </cell>
          <cell r="O1797">
            <v>45299</v>
          </cell>
          <cell r="R1797">
            <v>46018</v>
          </cell>
          <cell r="S1797">
            <v>46018</v>
          </cell>
          <cell r="T1797">
            <v>46018</v>
          </cell>
          <cell r="V1797" t="str">
            <v>건설기계운전원</v>
          </cell>
        </row>
        <row r="1798">
          <cell r="A1798" t="str">
            <v>박완영</v>
          </cell>
          <cell r="B1798" t="str">
            <v>인천 남동구 서창남로 2 1211-302</v>
          </cell>
          <cell r="C1798" t="str">
            <v>651208-1326219</v>
          </cell>
          <cell r="E1798">
            <v>500000</v>
          </cell>
          <cell r="F1798" t="str">
            <v>남</v>
          </cell>
          <cell r="G1798">
            <v>62</v>
          </cell>
          <cell r="H1798" t="str">
            <v>-</v>
          </cell>
          <cell r="J1798" t="str">
            <v>스카이3.5</v>
          </cell>
          <cell r="K1798" t="str">
            <v>와이스카이</v>
          </cell>
          <cell r="Q1798" t="str">
            <v/>
          </cell>
          <cell r="V1798" t="str">
            <v>건설기계운전원</v>
          </cell>
        </row>
        <row r="1799">
          <cell r="A1799" t="str">
            <v>이재열</v>
          </cell>
          <cell r="B1799" t="str">
            <v>강원 원주 원일로 177-1</v>
          </cell>
          <cell r="C1799" t="str">
            <v>890417-1267710</v>
          </cell>
          <cell r="D1799" t="str">
            <v>010-2450-1989</v>
          </cell>
          <cell r="E1799">
            <v>500000</v>
          </cell>
          <cell r="F1799" t="str">
            <v>남</v>
          </cell>
          <cell r="G1799">
            <v>38</v>
          </cell>
          <cell r="H1799" t="str">
            <v>-</v>
          </cell>
          <cell r="J1799" t="str">
            <v>스카이3.5</v>
          </cell>
          <cell r="K1799" t="str">
            <v>와이스카이</v>
          </cell>
          <cell r="O1799">
            <v>44867</v>
          </cell>
          <cell r="Q1799" t="str">
            <v/>
          </cell>
          <cell r="R1799">
            <v>46154</v>
          </cell>
          <cell r="S1799">
            <v>46154</v>
          </cell>
          <cell r="T1799">
            <v>46154</v>
          </cell>
          <cell r="V1799" t="str">
            <v>건설기계운전원</v>
          </cell>
        </row>
        <row r="1800">
          <cell r="A1800" t="str">
            <v>박성근</v>
          </cell>
          <cell r="B1800" t="str">
            <v>강원 원주 북원로2425번길 25-20</v>
          </cell>
          <cell r="C1800" t="str">
            <v>800209-1267610</v>
          </cell>
          <cell r="D1800" t="str">
            <v>010-8569-2004</v>
          </cell>
          <cell r="E1800">
            <v>500000</v>
          </cell>
          <cell r="F1800" t="str">
            <v>남</v>
          </cell>
          <cell r="G1800">
            <v>47</v>
          </cell>
          <cell r="H1800" t="str">
            <v>-</v>
          </cell>
          <cell r="J1800" t="str">
            <v>스카이</v>
          </cell>
          <cell r="O1800">
            <v>42031</v>
          </cell>
          <cell r="Q1800" t="str">
            <v/>
          </cell>
          <cell r="R1800">
            <v>46184</v>
          </cell>
          <cell r="S1800">
            <v>46184</v>
          </cell>
          <cell r="T1800">
            <v>46184</v>
          </cell>
          <cell r="V1800" t="str">
            <v>건설기계운전원</v>
          </cell>
        </row>
        <row r="1806">
          <cell r="A1806" t="str">
            <v>협력업체</v>
          </cell>
          <cell r="B1806">
            <v>2025</v>
          </cell>
        </row>
        <row r="1808">
          <cell r="A1808" t="str">
            <v>우민이엔지</v>
          </cell>
          <cell r="B1808" t="str">
            <v>4대보험/선지급금/일반</v>
          </cell>
          <cell r="C1808" t="str">
            <v>131-81-85239</v>
          </cell>
          <cell r="F1808" t="str">
            <v>여</v>
          </cell>
          <cell r="G1808">
            <v>114</v>
          </cell>
          <cell r="H1808" t="str">
            <v>외국인</v>
          </cell>
          <cell r="L1808" t="str">
            <v>1010-2735-4600</v>
          </cell>
          <cell r="M1808" t="str">
            <v>수협은행</v>
          </cell>
          <cell r="N1808" t="str">
            <v>(주)우민이엔지</v>
          </cell>
          <cell r="Q1808" t="str">
            <v/>
          </cell>
        </row>
        <row r="1809">
          <cell r="A1809" t="str">
            <v>원주에어컨</v>
          </cell>
          <cell r="B1809" t="str">
            <v>원주시 백간길72,106-301(단계동,라이프타운)</v>
          </cell>
          <cell r="C1809" t="str">
            <v>848-10-01787</v>
          </cell>
          <cell r="D1809" t="str">
            <v>010-2763-9912</v>
          </cell>
          <cell r="I1809" t="str">
            <v>곽창근</v>
          </cell>
          <cell r="L1809" t="str">
            <v>352-1201-7983-93</v>
          </cell>
          <cell r="M1809" t="str">
            <v>농협은행</v>
          </cell>
          <cell r="N1809" t="str">
            <v>이지성원주에어컨</v>
          </cell>
        </row>
        <row r="1810">
          <cell r="A1810" t="str">
            <v>나나패밀리</v>
          </cell>
          <cell r="B1810" t="str">
            <v>강원도 원주시 무실동2023</v>
          </cell>
          <cell r="C1810" t="str">
            <v>341-85-02736</v>
          </cell>
          <cell r="D1810" t="str">
            <v>010-4071-6020</v>
          </cell>
          <cell r="E1810" t="str">
            <v>식대</v>
          </cell>
          <cell r="I1810" t="str">
            <v>강해미</v>
          </cell>
          <cell r="K1810" t="str">
            <v>함바</v>
          </cell>
          <cell r="L1810" t="str">
            <v>301-036904-9711</v>
          </cell>
          <cell r="M1810" t="str">
            <v>농협은행</v>
          </cell>
          <cell r="N1810" t="str">
            <v>나나패밀리</v>
          </cell>
        </row>
        <row r="1811">
          <cell r="A1811" t="str">
            <v>원일통운</v>
          </cell>
          <cell r="B1811" t="str">
            <v>서울시 양천구 신정동812,서부터미널B306</v>
          </cell>
          <cell r="C1811" t="str">
            <v>117-04-71500</v>
          </cell>
          <cell r="D1811" t="str">
            <v>02-2611-5133</v>
          </cell>
          <cell r="E1811" t="str">
            <v>운송</v>
          </cell>
          <cell r="I1811" t="str">
            <v>김수태</v>
          </cell>
          <cell r="K1811" t="str">
            <v>물류운송</v>
          </cell>
          <cell r="L1811" t="str">
            <v>110-129-369688</v>
          </cell>
          <cell r="M1811" t="str">
            <v>신한은행</v>
          </cell>
          <cell r="N1811" t="str">
            <v>김수태원일통운</v>
          </cell>
        </row>
        <row r="1812">
          <cell r="A1812" t="str">
            <v>하나건설중기</v>
          </cell>
          <cell r="B1812" t="str">
            <v>원주시 무실양지길6-1</v>
          </cell>
          <cell r="C1812" t="str">
            <v>319-42-00374</v>
          </cell>
          <cell r="D1812" t="str">
            <v>033-734-6610</v>
          </cell>
          <cell r="E1812" t="str">
            <v>굴삭기</v>
          </cell>
          <cell r="I1812" t="str">
            <v>이강복</v>
          </cell>
          <cell r="L1812" t="str">
            <v>301-5360-6640-91</v>
          </cell>
          <cell r="M1812" t="str">
            <v>농협은행</v>
          </cell>
          <cell r="N1812" t="str">
            <v>이강복(하나건설중기)</v>
          </cell>
        </row>
        <row r="1813">
          <cell r="A1813" t="str">
            <v>만우리건축자재</v>
          </cell>
          <cell r="B1813" t="str">
            <v>원주시 판부면 남원로249</v>
          </cell>
          <cell r="C1813" t="str">
            <v>816-86-00452</v>
          </cell>
          <cell r="D1813" t="str">
            <v>033-765-7989</v>
          </cell>
          <cell r="E1813" t="str">
            <v>철물</v>
          </cell>
          <cell r="I1813" t="str">
            <v>문규석</v>
          </cell>
          <cell r="L1813" t="str">
            <v>682401-01-565127</v>
          </cell>
          <cell r="M1813" t="str">
            <v>국민은행</v>
          </cell>
          <cell r="N1813" t="str">
            <v>(주)만우리건축자재</v>
          </cell>
        </row>
        <row r="1814">
          <cell r="A1814" t="str">
            <v>설악샘물</v>
          </cell>
          <cell r="B1814" t="str">
            <v>강원도 원주시 소초면 평장리 120-4</v>
          </cell>
          <cell r="C1814" t="str">
            <v>123-33-77421</v>
          </cell>
          <cell r="D1814" t="str">
            <v>010-3321-4732</v>
          </cell>
          <cell r="E1814" t="str">
            <v>생수</v>
          </cell>
          <cell r="I1814" t="str">
            <v>안대종</v>
          </cell>
          <cell r="L1814" t="str">
            <v>351-0529-5490-13</v>
          </cell>
          <cell r="M1814" t="str">
            <v>농협은행</v>
          </cell>
          <cell r="N1814" t="str">
            <v>안대종/설악샘물</v>
          </cell>
        </row>
        <row r="1815">
          <cell r="A1815" t="str">
            <v>와이스카이</v>
          </cell>
          <cell r="B1815" t="str">
            <v>원주시 소초면 장수1로16</v>
          </cell>
          <cell r="C1815" t="str">
            <v>490-86-03484</v>
          </cell>
          <cell r="D1815" t="str">
            <v>010-6210-8885</v>
          </cell>
          <cell r="E1815" t="str">
            <v>스카이</v>
          </cell>
          <cell r="I1815" t="str">
            <v>임유림</v>
          </cell>
          <cell r="L1815" t="str">
            <v>128-158222-04-011</v>
          </cell>
          <cell r="M1815" t="str">
            <v>기업은행</v>
          </cell>
          <cell r="N1815" t="str">
            <v>와이스카이임영중기</v>
          </cell>
        </row>
        <row r="1816">
          <cell r="A1816" t="str">
            <v>숙소월세</v>
          </cell>
          <cell r="B1816" t="str">
            <v>4대보험/선지급금/일반</v>
          </cell>
          <cell r="C1816" t="str">
            <v>131-81-85239</v>
          </cell>
          <cell r="F1816" t="str">
            <v>여</v>
          </cell>
          <cell r="G1816">
            <v>114</v>
          </cell>
          <cell r="H1816" t="str">
            <v>외국인</v>
          </cell>
          <cell r="L1816" t="str">
            <v>164501-04-294270</v>
          </cell>
          <cell r="M1816" t="str">
            <v>국민은행</v>
          </cell>
          <cell r="N1816" t="str">
            <v>(주)우민이엔지</v>
          </cell>
        </row>
        <row r="1817">
          <cell r="A1817" t="str">
            <v>숙소관리비</v>
          </cell>
          <cell r="B1817" t="str">
            <v>4대보험/선지급금/일반</v>
          </cell>
          <cell r="C1817" t="str">
            <v>131-81-85239</v>
          </cell>
          <cell r="F1817" t="str">
            <v>여</v>
          </cell>
          <cell r="G1817">
            <v>114</v>
          </cell>
          <cell r="H1817" t="str">
            <v>외국인</v>
          </cell>
          <cell r="L1817" t="str">
            <v>164501-04-294270</v>
          </cell>
          <cell r="M1817" t="str">
            <v>국민은행</v>
          </cell>
          <cell r="N1817" t="str">
            <v>(주)우민이엔지</v>
          </cell>
        </row>
        <row r="1818">
          <cell r="A1818" t="str">
            <v>경천건업</v>
          </cell>
          <cell r="B1818" t="str">
            <v>인천시 남동구 장승남로33번길21,101동403호</v>
          </cell>
          <cell r="C1818" t="str">
            <v>735-52-00070</v>
          </cell>
          <cell r="D1818" t="str">
            <v>010-5471-0201</v>
          </cell>
          <cell r="E1818" t="str">
            <v>골조공사</v>
          </cell>
          <cell r="I1818" t="str">
            <v>권기무</v>
          </cell>
          <cell r="L1818" t="str">
            <v>104422-02-107994</v>
          </cell>
          <cell r="M1818" t="str">
            <v>우체국</v>
          </cell>
          <cell r="N1818" t="str">
            <v>권기무</v>
          </cell>
        </row>
        <row r="1819">
          <cell r="A1819" t="str">
            <v>서광에프알피</v>
          </cell>
          <cell r="B1819" t="str">
            <v>경기도 양주시 광적면 그루고개로143번길244-15</v>
          </cell>
          <cell r="C1819" t="str">
            <v>786-86-01844</v>
          </cell>
          <cell r="D1819" t="str">
            <v>010-8901-9666</v>
          </cell>
          <cell r="E1819" t="str">
            <v>FRP집수정</v>
          </cell>
          <cell r="I1819" t="str">
            <v>문정식</v>
          </cell>
          <cell r="L1819" t="str">
            <v>1005-904-421478</v>
          </cell>
          <cell r="M1819" t="str">
            <v>우리은행</v>
          </cell>
          <cell r="N1819" t="str">
            <v>(주)서광에프알피</v>
          </cell>
        </row>
        <row r="1820">
          <cell r="A1820" t="str">
            <v>라운드나라</v>
          </cell>
          <cell r="B1820" t="str">
            <v>서울시 강서구 양천로424 데시앙플렉스</v>
          </cell>
          <cell r="C1820" t="str">
            <v>844-81-00578</v>
          </cell>
          <cell r="D1820" t="str">
            <v>02-2638-0015</v>
          </cell>
          <cell r="E1820" t="str">
            <v>각도인코너</v>
          </cell>
          <cell r="I1820" t="str">
            <v>강혜순</v>
          </cell>
          <cell r="L1820" t="str">
            <v>009-119133-01-019</v>
          </cell>
          <cell r="M1820" t="str">
            <v>기업은행</v>
          </cell>
          <cell r="N1820" t="str">
            <v>라운드나라</v>
          </cell>
        </row>
        <row r="1821">
          <cell r="A1821" t="str">
            <v>우영스틸</v>
          </cell>
          <cell r="B1821" t="str">
            <v>안산시 상록구 장하로164</v>
          </cell>
          <cell r="C1821" t="str">
            <v>198-60-00368</v>
          </cell>
          <cell r="D1821" t="str">
            <v>02-418-2621</v>
          </cell>
          <cell r="E1821" t="str">
            <v>철근받침대</v>
          </cell>
          <cell r="I1821" t="str">
            <v>염금순</v>
          </cell>
          <cell r="L1821" t="str">
            <v>1005-103-764005</v>
          </cell>
          <cell r="M1821" t="str">
            <v>우리은행</v>
          </cell>
          <cell r="N1821" t="str">
            <v>우영스틸</v>
          </cell>
        </row>
        <row r="1822">
          <cell r="A1822" t="str">
            <v>진우씨엠에스</v>
          </cell>
          <cell r="B1822" t="str">
            <v>김포시 양촌읍 누산봉성로53번길34</v>
          </cell>
          <cell r="C1822" t="str">
            <v>107-81-91776</v>
          </cell>
          <cell r="D1822" t="str">
            <v>010-4643-7648</v>
          </cell>
          <cell r="E1822" t="str">
            <v>타이클립</v>
          </cell>
          <cell r="I1822" t="str">
            <v>정기찬</v>
          </cell>
          <cell r="L1822" t="str">
            <v>1005-701-009021</v>
          </cell>
          <cell r="M1822" t="str">
            <v>우리은행</v>
          </cell>
          <cell r="N1822" t="str">
            <v>진우씨엠에스</v>
          </cell>
        </row>
        <row r="1823">
          <cell r="A1823" t="str">
            <v>프라임이앤씨</v>
          </cell>
          <cell r="B1823" t="str">
            <v>서울시 서로구 강남대로18길26,3층</v>
          </cell>
          <cell r="C1823" t="str">
            <v>481-88-00551</v>
          </cell>
          <cell r="D1823" t="str">
            <v>02-2057-5454</v>
          </cell>
          <cell r="E1823" t="str">
            <v>철근잡자재</v>
          </cell>
          <cell r="I1823" t="str">
            <v>김영식</v>
          </cell>
          <cell r="L1823" t="str">
            <v>224-910060-72504</v>
          </cell>
          <cell r="M1823" t="str">
            <v>하나은행</v>
          </cell>
          <cell r="N1823" t="str">
            <v>프라임이앤씨</v>
          </cell>
        </row>
        <row r="1824">
          <cell r="A1824" t="str">
            <v>동아사무기</v>
          </cell>
          <cell r="B1824" t="str">
            <v>원주시 능라동길35,204호</v>
          </cell>
          <cell r="C1824" t="str">
            <v>224-81-47143</v>
          </cell>
          <cell r="D1824" t="str">
            <v>033-744-0077</v>
          </cell>
          <cell r="E1824" t="str">
            <v>사무문구</v>
          </cell>
          <cell r="I1824" t="str">
            <v>이용석</v>
          </cell>
          <cell r="L1824" t="str">
            <v>100-027-326720</v>
          </cell>
          <cell r="M1824" t="str">
            <v>신한은행</v>
          </cell>
          <cell r="N1824" t="str">
            <v>동아사무기</v>
          </cell>
        </row>
        <row r="1825">
          <cell r="A1825" t="str">
            <v>트윈세이프</v>
          </cell>
          <cell r="B1825" t="str">
            <v>서울시 구로구 신도림동432-1,103동101호</v>
          </cell>
          <cell r="C1825" t="str">
            <v>113-86-55732</v>
          </cell>
          <cell r="D1825" t="str">
            <v>02-2068-8282</v>
          </cell>
          <cell r="E1825" t="str">
            <v>안전용품</v>
          </cell>
          <cell r="I1825" t="str">
            <v>남재학</v>
          </cell>
          <cell r="L1825" t="str">
            <v>1005-301-990202</v>
          </cell>
          <cell r="M1825" t="str">
            <v>우리은행</v>
          </cell>
          <cell r="N1825" t="str">
            <v>트윈세이프</v>
          </cell>
        </row>
        <row r="1826">
          <cell r="A1826" t="str">
            <v>금강엔지니어링</v>
          </cell>
          <cell r="B1826" t="str">
            <v>경남 양산시 장기터2길60</v>
          </cell>
          <cell r="C1826" t="str">
            <v>502-18-12287</v>
          </cell>
          <cell r="D1826" t="str">
            <v>051-633-3241</v>
          </cell>
          <cell r="E1826" t="str">
            <v>물막이지수판</v>
          </cell>
          <cell r="I1826" t="str">
            <v>서혜경</v>
          </cell>
          <cell r="L1826" t="str">
            <v>101-2024-5298-05</v>
          </cell>
          <cell r="M1826" t="str">
            <v>부산은행</v>
          </cell>
          <cell r="N1826" t="str">
            <v>금강엔지니어링</v>
          </cell>
        </row>
        <row r="1827">
          <cell r="A1827" t="str">
            <v>영광중기</v>
          </cell>
          <cell r="B1827" t="str">
            <v>원주시 원문로100번길</v>
          </cell>
          <cell r="C1827" t="str">
            <v>750-16-00653</v>
          </cell>
          <cell r="D1827" t="str">
            <v>033-733-2677</v>
          </cell>
          <cell r="E1827" t="str">
            <v>지게차</v>
          </cell>
          <cell r="I1827" t="str">
            <v>윤주희</v>
          </cell>
          <cell r="L1827" t="str">
            <v>356-1272-9936-63</v>
          </cell>
          <cell r="M1827" t="str">
            <v>농협은행</v>
          </cell>
          <cell r="N1827" t="str">
            <v>윤주희</v>
          </cell>
        </row>
        <row r="1828">
          <cell r="A1828" t="str">
            <v>금문철강</v>
          </cell>
          <cell r="B1828" t="str">
            <v>충북 음성군 대소면 성본산단1로 148</v>
          </cell>
          <cell r="C1828" t="str">
            <v>506-85-30668</v>
          </cell>
          <cell r="D1828" t="str">
            <v>043-881-0610</v>
          </cell>
          <cell r="E1828" t="str">
            <v>철근가공</v>
          </cell>
          <cell r="I1828" t="str">
            <v>문성호</v>
          </cell>
          <cell r="L1828" t="str">
            <v>301-0365-0268-11</v>
          </cell>
          <cell r="M1828" t="str">
            <v>농협은행</v>
          </cell>
          <cell r="N1828" t="str">
            <v>금문철강</v>
          </cell>
        </row>
        <row r="1829">
          <cell r="A1829" t="str">
            <v>덕신이피씨</v>
          </cell>
          <cell r="B1829" t="str">
            <v>충남 천안시 동남구 수신면 수신로 485-34</v>
          </cell>
          <cell r="C1829" t="str">
            <v>136-81-09463</v>
          </cell>
          <cell r="D1829" t="str">
            <v>010-9072-0131</v>
          </cell>
          <cell r="E1829" t="str">
            <v>데크플레이트</v>
          </cell>
          <cell r="I1829" t="str">
            <v>유희성</v>
          </cell>
          <cell r="K1829" t="str">
            <v>유희성대표</v>
          </cell>
          <cell r="L1829" t="str">
            <v>140-003-218820</v>
          </cell>
          <cell r="M1829" t="str">
            <v>신한은행</v>
          </cell>
          <cell r="N1829" t="str">
            <v>㈜덕신이피씨</v>
          </cell>
        </row>
        <row r="1830">
          <cell r="A1830" t="str">
            <v>엠에스엔지니어링</v>
          </cell>
          <cell r="B1830" t="str">
            <v>경기 남양주시 강변북로661번길22</v>
          </cell>
          <cell r="C1830" t="str">
            <v>204-81-61122</v>
          </cell>
          <cell r="D1830" t="str">
            <v>031-555-8215</v>
          </cell>
          <cell r="E1830" t="str">
            <v>생명줄클램프</v>
          </cell>
          <cell r="I1830" t="str">
            <v>이승열</v>
          </cell>
          <cell r="L1830" t="str">
            <v>774-25-0007-715</v>
          </cell>
          <cell r="M1830" t="str">
            <v>국민은행</v>
          </cell>
          <cell r="N1830" t="str">
            <v>엠에스엔지니어링</v>
          </cell>
        </row>
        <row r="1831">
          <cell r="A1831" t="str">
            <v>화성디에스병원</v>
          </cell>
          <cell r="B1831" t="str">
            <v>화성시 남양읍 시청로160번길46-13</v>
          </cell>
          <cell r="C1831" t="str">
            <v>252-18-01115</v>
          </cell>
          <cell r="D1831" t="str">
            <v>031-5180-7787</v>
          </cell>
          <cell r="E1831" t="str">
            <v>일반병원</v>
          </cell>
          <cell r="I1831" t="str">
            <v>최덕수</v>
          </cell>
          <cell r="L1831" t="str">
            <v>9003-2661-6493-2</v>
          </cell>
          <cell r="M1831" t="str">
            <v>새마을금고</v>
          </cell>
          <cell r="N1831" t="str">
            <v>화성디에스병원</v>
          </cell>
        </row>
        <row r="1832">
          <cell r="A1832" t="str">
            <v>프로메카</v>
          </cell>
          <cell r="B1832" t="str">
            <v>수원시 권선구 산업로198,833호</v>
          </cell>
          <cell r="C1832" t="str">
            <v>515-87-01481</v>
          </cell>
          <cell r="D1832" t="str">
            <v>031-8067-6111</v>
          </cell>
          <cell r="E1832" t="str">
            <v>타워신호수교육</v>
          </cell>
          <cell r="I1832" t="str">
            <v>정명호</v>
          </cell>
          <cell r="L1832" t="str">
            <v>443-910015-27104</v>
          </cell>
          <cell r="M1832" t="str">
            <v>기업은행</v>
          </cell>
          <cell r="N1832" t="str">
            <v>㈜프로메카</v>
          </cell>
        </row>
        <row r="1833">
          <cell r="A1833" t="str">
            <v>태광전자</v>
          </cell>
          <cell r="B1833" t="str">
            <v>원주시 강변로 389</v>
          </cell>
          <cell r="C1833" t="str">
            <v>244-04-71230</v>
          </cell>
          <cell r="D1833" t="str">
            <v>033-748-8384</v>
          </cell>
          <cell r="E1833" t="str">
            <v>열풍기AS</v>
          </cell>
          <cell r="I1833" t="str">
            <v>이용덕</v>
          </cell>
          <cell r="L1833" t="str">
            <v>218-02-127144</v>
          </cell>
          <cell r="M1833" t="str">
            <v>농협은행</v>
          </cell>
          <cell r="N1833" t="str">
            <v>이용덕</v>
          </cell>
        </row>
        <row r="1834">
          <cell r="A1834" t="str">
            <v>에이피엔</v>
          </cell>
          <cell r="B1834" t="str">
            <v>용인시 기흥구 기흥로58-1, A동1901호</v>
          </cell>
          <cell r="C1834" t="str">
            <v>214-81-25517</v>
          </cell>
          <cell r="D1834" t="str">
            <v>010-2297-2509</v>
          </cell>
          <cell r="E1834" t="str">
            <v>비파괴검사</v>
          </cell>
          <cell r="I1834" t="str">
            <v>정태화</v>
          </cell>
          <cell r="L1834" t="str">
            <v>103-115929-00104</v>
          </cell>
          <cell r="M1834" t="str">
            <v>하나은행</v>
          </cell>
          <cell r="N1834" t="str">
            <v>에이피엔</v>
          </cell>
        </row>
        <row r="1835">
          <cell r="A1835" t="str">
            <v>두산지게차</v>
          </cell>
          <cell r="B1835" t="str">
            <v>인천 남동구 청능대로448번길44,102BL6로트</v>
          </cell>
          <cell r="C1835" t="str">
            <v>131-23-40469</v>
          </cell>
          <cell r="D1835" t="str">
            <v>010-5030-5761</v>
          </cell>
          <cell r="E1835" t="str">
            <v>지게차임대</v>
          </cell>
          <cell r="I1835" t="str">
            <v>김진용</v>
          </cell>
          <cell r="L1835" t="str">
            <v>173901-04-152792</v>
          </cell>
          <cell r="M1835" t="str">
            <v>국민은행</v>
          </cell>
          <cell r="N1835" t="str">
            <v>김진용(두산지게차)</v>
          </cell>
        </row>
        <row r="1836">
          <cell r="A1836" t="str">
            <v>대우건기</v>
          </cell>
          <cell r="B1836" t="str">
            <v>서울시 구로구 공원로41,306호</v>
          </cell>
          <cell r="C1836">
            <v>4218600496</v>
          </cell>
          <cell r="D1836" t="str">
            <v>010-5448-4665</v>
          </cell>
          <cell r="F1836" t="str">
            <v>여</v>
          </cell>
          <cell r="G1836">
            <v>85</v>
          </cell>
          <cell r="H1836" t="str">
            <v>-</v>
          </cell>
          <cell r="I1836" t="str">
            <v>최명주</v>
          </cell>
          <cell r="L1836" t="str">
            <v>489737-01-004583</v>
          </cell>
          <cell r="M1836" t="str">
            <v>국민은행</v>
          </cell>
          <cell r="N1836" t="str">
            <v>대우건기</v>
          </cell>
          <cell r="Q1836" t="str">
            <v/>
          </cell>
        </row>
        <row r="1837">
          <cell r="A1837" t="str">
            <v>업라이트코리아</v>
          </cell>
          <cell r="B1837" t="str">
            <v>용인시 처인구 양지면 ㅕㅇ창로167-3</v>
          </cell>
          <cell r="C1837">
            <v>2208199542</v>
          </cell>
          <cell r="D1837" t="str">
            <v>031-322-5440</v>
          </cell>
          <cell r="F1837" t="str">
            <v/>
          </cell>
          <cell r="G1837" t="str">
            <v/>
          </cell>
          <cell r="H1837" t="str">
            <v/>
          </cell>
          <cell r="I1837" t="str">
            <v>하철수</v>
          </cell>
          <cell r="L1837" t="str">
            <v>031-322-7440</v>
          </cell>
          <cell r="M1837" t="str">
            <v>기업은행</v>
          </cell>
          <cell r="N1837" t="str">
            <v>업라이트코리아</v>
          </cell>
        </row>
        <row r="1838">
          <cell r="A1838" t="str">
            <v>천하무적</v>
          </cell>
          <cell r="B1838" t="str">
            <v>경기 안산시 상록구 반석로102,본오동</v>
          </cell>
          <cell r="C1838" t="str">
            <v>134-32-06123</v>
          </cell>
          <cell r="D1838" t="str">
            <v>010-3306-3307</v>
          </cell>
          <cell r="E1838" t="str">
            <v>황상근</v>
          </cell>
          <cell r="F1838" t="str">
            <v>여</v>
          </cell>
          <cell r="G1838">
            <v>113</v>
          </cell>
          <cell r="H1838" t="str">
            <v>-</v>
          </cell>
          <cell r="J1838" t="str">
            <v>장비운전원</v>
          </cell>
          <cell r="K1838" t="str">
            <v>사다리차65</v>
          </cell>
          <cell r="L1838" t="str">
            <v>104679-02-186324</v>
          </cell>
          <cell r="M1838" t="str">
            <v>우체국</v>
          </cell>
          <cell r="N1838" t="str">
            <v>황상근/사다리차</v>
          </cell>
          <cell r="O1838">
            <v>43545</v>
          </cell>
          <cell r="S1838">
            <v>45705</v>
          </cell>
          <cell r="T1838">
            <v>45705</v>
          </cell>
          <cell r="V1838" t="str">
            <v>장비운전원</v>
          </cell>
        </row>
        <row r="1839">
          <cell r="A1839" t="str">
            <v>시스템사다리차</v>
          </cell>
          <cell r="B1839" t="str">
            <v>경기도 양주시 삼숭로58번길141,자이A706-1503</v>
          </cell>
          <cell r="C1839" t="str">
            <v>444-52-00285</v>
          </cell>
          <cell r="D1839" t="str">
            <v>010-4521-4209</v>
          </cell>
          <cell r="E1839" t="str">
            <v>서진호</v>
          </cell>
          <cell r="J1839" t="str">
            <v>장비운전원</v>
          </cell>
          <cell r="K1839" t="str">
            <v>사다리차26</v>
          </cell>
          <cell r="L1839" t="str">
            <v>262-21-0178-392</v>
          </cell>
          <cell r="M1839" t="str">
            <v>국민은행</v>
          </cell>
          <cell r="N1839" t="str">
            <v>서진호/사다리차</v>
          </cell>
        </row>
        <row r="1840">
          <cell r="A1840" t="str">
            <v>사다리</v>
          </cell>
          <cell r="B1840" t="str">
            <v>경기도 성남시 중원구 박석로15번길6-3</v>
          </cell>
          <cell r="C1840" t="str">
            <v>695-21-00666</v>
          </cell>
          <cell r="D1840" t="str">
            <v>010-8823-5122</v>
          </cell>
          <cell r="E1840" t="str">
            <v>이인수</v>
          </cell>
          <cell r="J1840" t="str">
            <v>장비운전원</v>
          </cell>
          <cell r="K1840" t="str">
            <v>사다리차52</v>
          </cell>
          <cell r="L1840" t="str">
            <v>1002-15378-1549</v>
          </cell>
          <cell r="M1840" t="str">
            <v>우리은행</v>
          </cell>
          <cell r="N1840" t="str">
            <v>이인수/사다리</v>
          </cell>
        </row>
        <row r="1841">
          <cell r="A1841" t="str">
            <v>에이스거미크레인</v>
          </cell>
          <cell r="C1841" t="str">
            <v>380-87-01376</v>
          </cell>
          <cell r="D1841" t="str">
            <v>010-6350-3767</v>
          </cell>
          <cell r="L1841" t="str">
            <v>221-910013-44804</v>
          </cell>
          <cell r="M1841" t="str">
            <v>하나은행</v>
          </cell>
          <cell r="N1841" t="str">
            <v>에이스크레인</v>
          </cell>
        </row>
        <row r="1842">
          <cell r="A1842" t="str">
            <v>승일하이랜더</v>
          </cell>
          <cell r="B1842" t="str">
            <v>경기 고양시 일산서구 홀트로66,302-3호</v>
          </cell>
          <cell r="C1842" t="str">
            <v>214-02-13108</v>
          </cell>
          <cell r="D1842" t="str">
            <v>010-8828-6183</v>
          </cell>
          <cell r="E1842" t="str">
            <v>김광철</v>
          </cell>
          <cell r="I1842" t="str">
            <v>김광철</v>
          </cell>
          <cell r="J1842" t="str">
            <v>협력업체</v>
          </cell>
          <cell r="K1842" t="str">
            <v>하이랜더</v>
          </cell>
          <cell r="L1842" t="str">
            <v>585401-01-220208</v>
          </cell>
          <cell r="M1842" t="str">
            <v>국민은행</v>
          </cell>
          <cell r="N1842" t="str">
            <v>승일하이랜더</v>
          </cell>
        </row>
        <row r="1843">
          <cell r="A1843" t="str">
            <v>경인하이랜더</v>
          </cell>
          <cell r="B1843" t="str">
            <v>서울시 영등포구 버드나루로50,809호</v>
          </cell>
          <cell r="C1843" t="str">
            <v>219-30-00028</v>
          </cell>
          <cell r="D1843" t="str">
            <v>010-8989-7741</v>
          </cell>
          <cell r="E1843" t="str">
            <v>윤현수</v>
          </cell>
          <cell r="I1843" t="str">
            <v>윤현수</v>
          </cell>
          <cell r="J1843" t="str">
            <v>협력업체</v>
          </cell>
          <cell r="K1843" t="str">
            <v>하이랜더</v>
          </cell>
          <cell r="L1843" t="str">
            <v>302-1119-1124-31</v>
          </cell>
          <cell r="M1843" t="str">
            <v>농협은행</v>
          </cell>
          <cell r="N1843" t="str">
            <v>윤현수</v>
          </cell>
        </row>
        <row r="1844">
          <cell r="A1844" t="str">
            <v>씨엔에스텍</v>
          </cell>
          <cell r="C1844" t="str">
            <v>562-85-00602</v>
          </cell>
          <cell r="D1844" t="str">
            <v>010-58977013</v>
          </cell>
          <cell r="L1844" t="str">
            <v>564-053791-04-012</v>
          </cell>
          <cell r="M1844" t="str">
            <v>기업은행</v>
          </cell>
          <cell r="N1844" t="str">
            <v>씨엔에스텍</v>
          </cell>
        </row>
        <row r="1845">
          <cell r="A1845" t="str">
            <v>반석개발</v>
          </cell>
          <cell r="C1845" t="str">
            <v>332-88-00564</v>
          </cell>
          <cell r="D1845" t="str">
            <v>010-3730-3053</v>
          </cell>
          <cell r="F1845" t="str">
            <v>여</v>
          </cell>
          <cell r="G1845">
            <v>92</v>
          </cell>
          <cell r="L1845" t="str">
            <v>308-093293-01-019</v>
          </cell>
          <cell r="M1845" t="str">
            <v>기업은행</v>
          </cell>
          <cell r="N1845" t="str">
            <v>반석개발</v>
          </cell>
        </row>
        <row r="1846">
          <cell r="A1846" t="str">
            <v>유니보스구로</v>
          </cell>
          <cell r="B1846" t="str">
            <v>서울 구로구 경인로53길15 줒앙유통단지 가동 1401호</v>
          </cell>
          <cell r="C1846" t="str">
            <v>113-86-52074</v>
          </cell>
          <cell r="D1846" t="str">
            <v>02-2613-0066</v>
          </cell>
          <cell r="F1846" t="str">
            <v>남</v>
          </cell>
          <cell r="G1846">
            <v>115</v>
          </cell>
          <cell r="L1846" t="str">
            <v>140-009-399766</v>
          </cell>
          <cell r="M1846" t="str">
            <v>신한은행</v>
          </cell>
          <cell r="N1846" t="str">
            <v>유니보스구로</v>
          </cell>
        </row>
        <row r="1847">
          <cell r="A1847" t="str">
            <v>철물마켓</v>
          </cell>
          <cell r="B1847" t="str">
            <v>광주 서구 풍암동 943-6</v>
          </cell>
          <cell r="C1847" t="str">
            <v>738-40-00154</v>
          </cell>
          <cell r="D1847" t="str">
            <v>010-2246-1981</v>
          </cell>
          <cell r="F1847" t="str">
            <v>여</v>
          </cell>
          <cell r="G1847">
            <v>53</v>
          </cell>
          <cell r="H1847" t="str">
            <v>-</v>
          </cell>
          <cell r="L1847" t="str">
            <v>312-2246-1981-31</v>
          </cell>
          <cell r="M1847" t="str">
            <v>농협은행</v>
          </cell>
          <cell r="N1847" t="str">
            <v>오창석/철물마켓</v>
          </cell>
          <cell r="Q1847" t="str">
            <v/>
          </cell>
        </row>
        <row r="1848">
          <cell r="A1848" t="str">
            <v>윈하이텍</v>
          </cell>
          <cell r="B1848" t="str">
            <v>서울 금천구 가산디지털1로 212,1201호</v>
          </cell>
          <cell r="C1848" t="str">
            <v>303-81-63280</v>
          </cell>
          <cell r="D1848" t="str">
            <v>02-854-4126</v>
          </cell>
          <cell r="F1848" t="str">
            <v>여</v>
          </cell>
          <cell r="G1848">
            <v>96</v>
          </cell>
          <cell r="L1848" t="str">
            <v>1005-301-905039</v>
          </cell>
          <cell r="M1848" t="str">
            <v>우리은행</v>
          </cell>
          <cell r="N1848" t="str">
            <v>윈하이텍</v>
          </cell>
        </row>
        <row r="1849">
          <cell r="A1849" t="str">
            <v>바브켓종합중기</v>
          </cell>
          <cell r="B1849" t="str">
            <v>서울시 구로구 구로중앙로31길34,513호,구로동</v>
          </cell>
          <cell r="C1849" t="str">
            <v>118-05-98979</v>
          </cell>
          <cell r="D1849" t="str">
            <v>010-3731-9389</v>
          </cell>
          <cell r="F1849" t="str">
            <v>남</v>
          </cell>
          <cell r="G1849">
            <v>115</v>
          </cell>
          <cell r="L1849" t="str">
            <v>640025-95-121351</v>
          </cell>
          <cell r="M1849" t="str">
            <v>국민은행</v>
          </cell>
          <cell r="N1849" t="str">
            <v>최문현바브켓종합중기</v>
          </cell>
        </row>
        <row r="1850">
          <cell r="A1850" t="str">
            <v>코스카건설인력</v>
          </cell>
          <cell r="B1850" t="str">
            <v>서울시 금천구 시흥대로 475,201호(독산동)</v>
          </cell>
          <cell r="C1850" t="str">
            <v>814-81-01483</v>
          </cell>
          <cell r="D1850" t="str">
            <v>02-868-8204</v>
          </cell>
          <cell r="F1850" t="str">
            <v>여</v>
          </cell>
          <cell r="G1850">
            <v>45</v>
          </cell>
          <cell r="L1850" t="str">
            <v>1005-103-661590</v>
          </cell>
          <cell r="M1850" t="str">
            <v>우리은행</v>
          </cell>
          <cell r="N1850" t="str">
            <v>코스카건설인력</v>
          </cell>
        </row>
        <row r="1851">
          <cell r="A1851" t="str">
            <v>우성에이에프씨</v>
          </cell>
          <cell r="B1851" t="str">
            <v>천안 문양거푸집 군포공장</v>
          </cell>
          <cell r="D1851" t="str">
            <v>010-8390-0760</v>
          </cell>
          <cell r="L1851" t="str">
            <v>606601-04-008168</v>
          </cell>
          <cell r="M1851" t="str">
            <v>국민은행</v>
          </cell>
          <cell r="N1851" t="str">
            <v>이동진/우성에이에프</v>
          </cell>
        </row>
        <row r="1852">
          <cell r="A1852" t="str">
            <v>지음코리아</v>
          </cell>
          <cell r="B1852" t="str">
            <v>부산시 강서구 신포길83번길19-1</v>
          </cell>
          <cell r="C1852" t="str">
            <v>615-81-78522</v>
          </cell>
          <cell r="D1852" t="str">
            <v>010-2865-9150</v>
          </cell>
          <cell r="E1852" t="str">
            <v>섬유보강재</v>
          </cell>
          <cell r="I1852" t="str">
            <v>김규태</v>
          </cell>
          <cell r="L1852" t="str">
            <v>1005-401-787749</v>
          </cell>
          <cell r="M1852" t="str">
            <v>우리은행</v>
          </cell>
          <cell r="N1852" t="str">
            <v>지음코리아</v>
          </cell>
        </row>
        <row r="1853">
          <cell r="A1853" t="str">
            <v>영신씨엠</v>
          </cell>
          <cell r="B1853" t="str">
            <v>경량인방</v>
          </cell>
          <cell r="D1853" t="str">
            <v>02-3158-0826</v>
          </cell>
          <cell r="F1853" t="str">
            <v/>
          </cell>
          <cell r="G1853" t="str">
            <v/>
          </cell>
          <cell r="L1853" t="str">
            <v>210-076026-01-018</v>
          </cell>
          <cell r="M1853" t="str">
            <v>기업은행</v>
          </cell>
          <cell r="N1853" t="str">
            <v>영신씨엠</v>
          </cell>
        </row>
        <row r="1854">
          <cell r="A1854" t="str">
            <v>대한콜크</v>
          </cell>
          <cell r="B1854" t="str">
            <v>전기실 방진패드</v>
          </cell>
          <cell r="D1854" t="str">
            <v>031-983-7264</v>
          </cell>
          <cell r="F1854" t="str">
            <v/>
          </cell>
          <cell r="G1854" t="str">
            <v/>
          </cell>
          <cell r="L1854" t="str">
            <v>031-983-7233</v>
          </cell>
          <cell r="M1854" t="str">
            <v>기업은행</v>
          </cell>
          <cell r="N1854" t="str">
            <v>대한콜크김포공장</v>
          </cell>
        </row>
        <row r="1855">
          <cell r="A1855" t="str">
            <v>대현CTS</v>
          </cell>
          <cell r="B1855" t="str">
            <v>서울시 금천구 시흥대로97,30동139호,시흥유통상가</v>
          </cell>
          <cell r="C1855" t="str">
            <v>119-86-20283</v>
          </cell>
          <cell r="D1855" t="str">
            <v>02-809-1411</v>
          </cell>
          <cell r="F1855" t="str">
            <v>여</v>
          </cell>
          <cell r="G1855">
            <v>115</v>
          </cell>
          <cell r="L1855" t="str">
            <v>333-035758-04-025</v>
          </cell>
          <cell r="M1855" t="str">
            <v>기업은행</v>
          </cell>
          <cell r="N1855" t="str">
            <v>대현씨티에스</v>
          </cell>
        </row>
        <row r="1856">
          <cell r="A1856" t="str">
            <v>대운건철</v>
          </cell>
          <cell r="B1856" t="str">
            <v>시흥시 동서로707번길31-24,물왕동</v>
          </cell>
          <cell r="C1856" t="str">
            <v>554-87-00508</v>
          </cell>
          <cell r="D1856" t="str">
            <v>031-313-4007</v>
          </cell>
          <cell r="E1856" t="str">
            <v>철물</v>
          </cell>
          <cell r="I1856" t="str">
            <v>한현구</v>
          </cell>
          <cell r="J1856" t="str">
            <v>철물</v>
          </cell>
          <cell r="K1856" t="str">
            <v>대운건철</v>
          </cell>
          <cell r="L1856" t="str">
            <v>646-026580-01-011</v>
          </cell>
          <cell r="M1856" t="str">
            <v>기업은행</v>
          </cell>
          <cell r="N1856" t="str">
            <v>대운건철</v>
          </cell>
        </row>
        <row r="1857">
          <cell r="A1857" t="str">
            <v>삼정이엔지</v>
          </cell>
          <cell r="B1857" t="str">
            <v>화성시 장안면 화곡로128-3</v>
          </cell>
          <cell r="C1857" t="str">
            <v>787-87-00146</v>
          </cell>
          <cell r="D1857" t="str">
            <v>010-6522-8391</v>
          </cell>
          <cell r="E1857" t="str">
            <v>강재집수정</v>
          </cell>
          <cell r="I1857" t="str">
            <v>이정현</v>
          </cell>
          <cell r="J1857" t="str">
            <v>협력업체</v>
          </cell>
          <cell r="K1857" t="str">
            <v>강재집수정</v>
          </cell>
          <cell r="L1857" t="str">
            <v>581201-01-358198</v>
          </cell>
          <cell r="M1857" t="str">
            <v>국민은행</v>
          </cell>
          <cell r="N1857" t="str">
            <v>삼정이엔지</v>
          </cell>
        </row>
        <row r="1858">
          <cell r="A1858" t="str">
            <v>동진아이엔씨</v>
          </cell>
          <cell r="B1858" t="str">
            <v>충북 음성군 대소면 대동로428번길52</v>
          </cell>
          <cell r="C1858" t="str">
            <v>303-81-52783</v>
          </cell>
          <cell r="D1858" t="str">
            <v>043-878-4101</v>
          </cell>
          <cell r="E1858" t="str">
            <v>김준기</v>
          </cell>
          <cell r="J1858" t="str">
            <v>협력업체</v>
          </cell>
          <cell r="K1858" t="str">
            <v>이형유로폼</v>
          </cell>
          <cell r="L1858" t="str">
            <v>140-008-525062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tr">
            <v>반도스틸</v>
          </cell>
          <cell r="B1859" t="str">
            <v>경기도 이천시 호법면 덕평로502-15</v>
          </cell>
          <cell r="C1859" t="str">
            <v>126-86-62184</v>
          </cell>
          <cell r="D1859" t="str">
            <v>031-635-0560</v>
          </cell>
          <cell r="J1859" t="str">
            <v>협력업체</v>
          </cell>
          <cell r="K1859" t="str">
            <v>비계자재</v>
          </cell>
          <cell r="L1859" t="str">
            <v>140-010-210503</v>
          </cell>
          <cell r="M1859" t="str">
            <v>신한은행</v>
          </cell>
          <cell r="N1859" t="str">
            <v>반도스틸</v>
          </cell>
        </row>
        <row r="1860">
          <cell r="A1860" t="str">
            <v>예원구조</v>
          </cell>
          <cell r="B1860" t="str">
            <v>서울시 강남구 밤고개로1길10,1623호,수서동</v>
          </cell>
          <cell r="C1860" t="str">
            <v>370-87-00671</v>
          </cell>
          <cell r="D1860" t="str">
            <v>010-5205-9482</v>
          </cell>
          <cell r="E1860" t="str">
            <v>RC구조검토</v>
          </cell>
          <cell r="I1860" t="str">
            <v>윤성현</v>
          </cell>
          <cell r="J1860" t="str">
            <v>협력업체</v>
          </cell>
          <cell r="L1860" t="str">
            <v>274301-04-155678</v>
          </cell>
          <cell r="M1860" t="str">
            <v>국민은행</v>
          </cell>
          <cell r="N1860" t="str">
            <v>예원구조컨설팅</v>
          </cell>
        </row>
        <row r="1861">
          <cell r="A1861" t="str">
            <v>규람타워</v>
          </cell>
          <cell r="B1861" t="str">
            <v xml:space="preserve">안양시 동안구 호계동 555-9 국제유통단지업무지원동 </v>
          </cell>
          <cell r="F1861" t="str">
            <v/>
          </cell>
          <cell r="G1861" t="str">
            <v/>
          </cell>
          <cell r="H1861" t="str">
            <v/>
          </cell>
          <cell r="L1861" t="str">
            <v>1005-100-934275</v>
          </cell>
          <cell r="M1861" t="str">
            <v>우리은행</v>
          </cell>
          <cell r="N1861" t="str">
            <v>규람타워렌탈</v>
          </cell>
          <cell r="Q1861" t="str">
            <v/>
          </cell>
        </row>
        <row r="1862">
          <cell r="A1862" t="str">
            <v>대산이엔지</v>
          </cell>
          <cell r="B1862" t="str">
            <v>잡철물</v>
          </cell>
          <cell r="C1862" t="str">
            <v>1328181255</v>
          </cell>
          <cell r="D1862" t="str">
            <v>010-8226-8819</v>
          </cell>
          <cell r="F1862" t="str">
            <v/>
          </cell>
          <cell r="G1862" t="str">
            <v/>
          </cell>
          <cell r="H1862" t="str">
            <v/>
          </cell>
          <cell r="I1862" t="str">
            <v>이성우</v>
          </cell>
          <cell r="L1862" t="str">
            <v>607337-01-000763</v>
          </cell>
          <cell r="M1862" t="str">
            <v>국민은행</v>
          </cell>
          <cell r="N1862" t="str">
            <v>대산이엔지㈜</v>
          </cell>
        </row>
        <row r="1863">
          <cell r="A1863" t="str">
            <v>동희유통</v>
          </cell>
          <cell r="B1863" t="str">
            <v>경기도 광명시 노온사동564-3</v>
          </cell>
          <cell r="C1863" t="str">
            <v>1628800816</v>
          </cell>
          <cell r="D1863" t="str">
            <v>010-7450-8308</v>
          </cell>
          <cell r="F1863" t="str">
            <v/>
          </cell>
          <cell r="G1863" t="str">
            <v/>
          </cell>
          <cell r="H1863" t="str">
            <v/>
          </cell>
          <cell r="J1863" t="str">
            <v>수원 아주대 간식업체</v>
          </cell>
          <cell r="L1863" t="str">
            <v>169-142203-04-018</v>
          </cell>
          <cell r="M1863" t="str">
            <v>기업은행</v>
          </cell>
          <cell r="N1863" t="str">
            <v>동희유통</v>
          </cell>
        </row>
        <row r="1864">
          <cell r="A1864" t="str">
            <v>두성이엔씨</v>
          </cell>
          <cell r="B1864" t="str">
            <v>경남 창원시 성산구 중앙대로94,301호,상남동</v>
          </cell>
          <cell r="F1864" t="str">
            <v/>
          </cell>
          <cell r="G1864" t="str">
            <v/>
          </cell>
          <cell r="H1864" t="str">
            <v/>
          </cell>
          <cell r="I1864" t="str">
            <v>김인석</v>
          </cell>
          <cell r="J1864" t="str">
            <v>반도 토목 김인석</v>
          </cell>
          <cell r="L1864" t="str">
            <v>965601-01-467984</v>
          </cell>
          <cell r="M1864" t="str">
            <v>국민은행</v>
          </cell>
          <cell r="N1864" t="str">
            <v>두성이엔씨</v>
          </cell>
          <cell r="Q1864" t="str">
            <v/>
          </cell>
        </row>
        <row r="1865">
          <cell r="A1865" t="str">
            <v>서보실업</v>
          </cell>
          <cell r="B1865" t="str">
            <v>용인시 처인구 원삼면 미평로 1002</v>
          </cell>
          <cell r="D1865" t="str">
            <v>031-334-6979</v>
          </cell>
          <cell r="F1865" t="str">
            <v/>
          </cell>
          <cell r="G1865" t="str">
            <v/>
          </cell>
          <cell r="H1865" t="str">
            <v/>
          </cell>
          <cell r="J1865" t="str">
            <v>타워벨트</v>
          </cell>
          <cell r="L1865" t="str">
            <v>239-012015-04-019</v>
          </cell>
          <cell r="M1865" t="str">
            <v>기업은행</v>
          </cell>
          <cell r="N1865" t="str">
            <v>서보실업</v>
          </cell>
          <cell r="Q1865" t="str">
            <v/>
          </cell>
        </row>
        <row r="1866">
          <cell r="A1866" t="str">
            <v>영우테크</v>
          </cell>
          <cell r="B1866" t="str">
            <v>경기도 구리시 이문안로138,우신빌딩2F</v>
          </cell>
          <cell r="D1866" t="str">
            <v>031-553-1300</v>
          </cell>
          <cell r="F1866" t="str">
            <v/>
          </cell>
          <cell r="G1866" t="str">
            <v/>
          </cell>
          <cell r="H1866" t="str">
            <v/>
          </cell>
          <cell r="J1866" t="str">
            <v>아주대 우민무전기</v>
          </cell>
          <cell r="L1866" t="str">
            <v>631601-01-374268</v>
          </cell>
          <cell r="M1866" t="str">
            <v>국민은행</v>
          </cell>
          <cell r="N1866" t="str">
            <v>영우테크</v>
          </cell>
          <cell r="O1866" t="str">
            <v>최종임</v>
          </cell>
        </row>
        <row r="1867">
          <cell r="A1867" t="str">
            <v>루덴스코리아</v>
          </cell>
          <cell r="B1867" t="str">
            <v xml:space="preserve">경기도 광주시 </v>
          </cell>
          <cell r="C1867" t="str">
            <v>319-87-00400</v>
          </cell>
          <cell r="D1867" t="str">
            <v>010-3472-3021</v>
          </cell>
          <cell r="F1867" t="str">
            <v>여</v>
          </cell>
          <cell r="G1867">
            <v>95</v>
          </cell>
          <cell r="H1867" t="str">
            <v>-</v>
          </cell>
          <cell r="I1867" t="str">
            <v>김규민</v>
          </cell>
          <cell r="J1867" t="str">
            <v>화스터/단열못</v>
          </cell>
          <cell r="L1867" t="str">
            <v>986-000265-01-030</v>
          </cell>
          <cell r="M1867" t="str">
            <v>기업은행</v>
          </cell>
          <cell r="N1867" t="str">
            <v>루덴스코리아</v>
          </cell>
          <cell r="O1867" t="str">
            <v>김규민</v>
          </cell>
          <cell r="Q1867" t="str">
            <v/>
          </cell>
        </row>
        <row r="1868">
          <cell r="A1868" t="str">
            <v>명성가설</v>
          </cell>
          <cell r="B1868" t="str">
            <v>경기 평택 고덕면 동청리 345-19</v>
          </cell>
          <cell r="C1868" t="str">
            <v>1252099590</v>
          </cell>
          <cell r="D1868" t="str">
            <v>010-3890-2522</v>
          </cell>
          <cell r="F1868" t="str">
            <v/>
          </cell>
          <cell r="G1868" t="str">
            <v/>
          </cell>
          <cell r="H1868" t="str">
            <v/>
          </cell>
          <cell r="I1868" t="str">
            <v>박수원</v>
          </cell>
          <cell r="J1868" t="str">
            <v>하차지 031-662-2100</v>
          </cell>
          <cell r="L1868" t="str">
            <v>610901-01-415083</v>
          </cell>
          <cell r="M1868" t="str">
            <v>국민은행</v>
          </cell>
          <cell r="N1868" t="str">
            <v>박수원명성가설</v>
          </cell>
          <cell r="O1868" t="str">
            <v>031-662-2100</v>
          </cell>
        </row>
        <row r="1869">
          <cell r="A1869" t="str">
            <v>삼보엔지니어링</v>
          </cell>
          <cell r="B1869" t="str">
            <v>경기도 광주시 오포읍 오포안로99,1층</v>
          </cell>
          <cell r="D1869" t="str">
            <v>010-8600-3271</v>
          </cell>
          <cell r="F1869" t="str">
            <v/>
          </cell>
          <cell r="G1869" t="str">
            <v/>
          </cell>
          <cell r="H1869" t="str">
            <v/>
          </cell>
          <cell r="J1869" t="str">
            <v>커플러</v>
          </cell>
          <cell r="L1869" t="str">
            <v>5240-359050-1010</v>
          </cell>
          <cell r="M1869" t="str">
            <v>기업은행</v>
          </cell>
          <cell r="N1869" t="str">
            <v>삼보엔지니어링</v>
          </cell>
        </row>
        <row r="1870">
          <cell r="A1870" t="str">
            <v>삼정시티산업</v>
          </cell>
          <cell r="B1870" t="str">
            <v>경기도 화성시 팔탄면 착골길54-16</v>
          </cell>
          <cell r="C1870" t="str">
            <v>270-86-01465</v>
          </cell>
          <cell r="D1870" t="str">
            <v>031-351-5665</v>
          </cell>
          <cell r="F1870" t="str">
            <v/>
          </cell>
          <cell r="G1870" t="str">
            <v/>
          </cell>
          <cell r="H1870" t="str">
            <v/>
          </cell>
          <cell r="I1870" t="str">
            <v>윤윤정</v>
          </cell>
          <cell r="J1870" t="str">
            <v>컨테이너</v>
          </cell>
          <cell r="L1870" t="str">
            <v>503-048334-01-011</v>
          </cell>
          <cell r="M1870" t="str">
            <v>기업은행</v>
          </cell>
          <cell r="N1870" t="str">
            <v>삼정시티산업</v>
          </cell>
          <cell r="P1870" t="str">
            <v>기업</v>
          </cell>
          <cell r="Q1870" t="str">
            <v>582-023730-04-011</v>
          </cell>
          <cell r="R1870" t="str">
            <v>삼정컨테이너</v>
          </cell>
        </row>
        <row r="1871">
          <cell r="A1871" t="str">
            <v>상우정공</v>
          </cell>
          <cell r="B1871" t="str">
            <v>경기도 용인시 처인구 백암면 가창로46</v>
          </cell>
          <cell r="C1871" t="str">
            <v>1138150654</v>
          </cell>
          <cell r="D1871" t="str">
            <v>02-286-4812</v>
          </cell>
          <cell r="F1871" t="str">
            <v>여</v>
          </cell>
          <cell r="G1871">
            <v>115</v>
          </cell>
          <cell r="H1871" t="str">
            <v>외국인</v>
          </cell>
          <cell r="I1871" t="str">
            <v>이천우</v>
          </cell>
          <cell r="J1871" t="str">
            <v>이천우</v>
          </cell>
          <cell r="L1871" t="str">
            <v>837-25-0011-607</v>
          </cell>
          <cell r="M1871" t="str">
            <v>국민은행</v>
          </cell>
          <cell r="N1871" t="str">
            <v>상우정공</v>
          </cell>
          <cell r="O1871" t="str">
            <v>TEL</v>
          </cell>
          <cell r="P1871" t="str">
            <v>031-322-4812</v>
          </cell>
        </row>
        <row r="1872">
          <cell r="A1872" t="str">
            <v>서진세이프티</v>
          </cell>
          <cell r="B1872" t="str">
            <v>서울 구로구 구로중앙로207,1137호,구로동오퍼스1</v>
          </cell>
          <cell r="C1872" t="str">
            <v>1138198094</v>
          </cell>
          <cell r="D1872" t="str">
            <v>010-5244-9811</v>
          </cell>
          <cell r="I1872" t="str">
            <v>박경재</v>
          </cell>
          <cell r="J1872" t="str">
            <v>건축자재/안전용품</v>
          </cell>
          <cell r="L1872" t="str">
            <v>1000-2130-6934</v>
          </cell>
          <cell r="M1872" t="str">
            <v>신한은행</v>
          </cell>
          <cell r="N1872" t="str">
            <v>서진세이프티랜드</v>
          </cell>
        </row>
        <row r="1873">
          <cell r="A1873" t="str">
            <v>세화통상</v>
          </cell>
          <cell r="B1873" t="str">
            <v>서울시 중랑구 동일로111길19,101호,상봉동1층</v>
          </cell>
          <cell r="D1873" t="str">
            <v>019-470-4343</v>
          </cell>
          <cell r="J1873" t="str">
            <v>고체연료</v>
          </cell>
          <cell r="L1873" t="str">
            <v>063301-04-269276</v>
          </cell>
          <cell r="M1873" t="str">
            <v>국민은행</v>
          </cell>
          <cell r="N1873" t="str">
            <v>세화통상</v>
          </cell>
        </row>
        <row r="1874">
          <cell r="A1874" t="str">
            <v>신광기계</v>
          </cell>
          <cell r="B1874" t="str">
            <v>경기도 구리시 경춘북로265</v>
          </cell>
          <cell r="C1874" t="str">
            <v>132-81-68058</v>
          </cell>
          <cell r="D1874" t="str">
            <v>010-3313-8216</v>
          </cell>
          <cell r="F1874" t="str">
            <v/>
          </cell>
          <cell r="G1874" t="str">
            <v/>
          </cell>
          <cell r="H1874" t="str">
            <v/>
          </cell>
          <cell r="I1874" t="str">
            <v>하병익</v>
          </cell>
          <cell r="J1874" t="str">
            <v>자동톱다이수리</v>
          </cell>
          <cell r="L1874" t="str">
            <v>1005-183111-000</v>
          </cell>
          <cell r="M1874" t="str">
            <v>우리은행</v>
          </cell>
          <cell r="N1874" t="str">
            <v>신광기계</v>
          </cell>
        </row>
        <row r="1875">
          <cell r="A1875" t="str">
            <v>신도전자</v>
          </cell>
          <cell r="B1875" t="str">
            <v>경기도 부천시 원미구 춘의동143-1</v>
          </cell>
          <cell r="C1875" t="str">
            <v>1301289895</v>
          </cell>
          <cell r="D1875" t="str">
            <v>032-674-9000</v>
          </cell>
          <cell r="J1875" t="str">
            <v>복사기 임대료</v>
          </cell>
          <cell r="L1875" t="str">
            <v>625101-01-307261</v>
          </cell>
          <cell r="M1875" t="str">
            <v>국민은행</v>
          </cell>
          <cell r="N1875" t="str">
            <v>유승조신도전자</v>
          </cell>
        </row>
        <row r="1876">
          <cell r="A1876" t="str">
            <v>중원크레인</v>
          </cell>
          <cell r="B1876" t="str">
            <v>경기도 수원시 권선구 곡반정로85번길22</v>
          </cell>
          <cell r="C1876" t="str">
            <v>663-36-00440</v>
          </cell>
          <cell r="D1876" t="str">
            <v>031-377-9643</v>
          </cell>
          <cell r="E1876" t="str">
            <v>크레인</v>
          </cell>
          <cell r="F1876" t="str">
            <v/>
          </cell>
          <cell r="G1876" t="str">
            <v/>
          </cell>
          <cell r="H1876" t="str">
            <v/>
          </cell>
          <cell r="I1876" t="str">
            <v>이재강</v>
          </cell>
          <cell r="J1876" t="str">
            <v>이재강</v>
          </cell>
          <cell r="L1876" t="str">
            <v>352-0509-7178-93</v>
          </cell>
          <cell r="M1876" t="str">
            <v>농협은행</v>
          </cell>
          <cell r="N1876" t="str">
            <v>중원크레인이재강</v>
          </cell>
        </row>
        <row r="1877">
          <cell r="A1877" t="str">
            <v>대창산업</v>
          </cell>
          <cell r="B1877" t="str">
            <v>경기도 고양시 일산동구 식사동290-27</v>
          </cell>
          <cell r="C1877" t="str">
            <v>109-40-71375</v>
          </cell>
          <cell r="D1877" t="str">
            <v>010-6317-2248</v>
          </cell>
          <cell r="L1877" t="str">
            <v>110-008-084620</v>
          </cell>
          <cell r="M1877" t="str">
            <v>신한은행</v>
          </cell>
          <cell r="N1877" t="str">
            <v>이갑수대창산업</v>
          </cell>
        </row>
        <row r="1878">
          <cell r="A1878" t="str">
            <v>성현아이앤씨</v>
          </cell>
          <cell r="B1878" t="str">
            <v>경기도 안양시 동안구 엘에스로92,34동215호</v>
          </cell>
          <cell r="C1878" t="str">
            <v>138-81-47916</v>
          </cell>
          <cell r="D1878" t="str">
            <v>010-5240-9674</v>
          </cell>
          <cell r="E1878" t="str">
            <v>박리제</v>
          </cell>
          <cell r="I1878" t="str">
            <v>방현덕</v>
          </cell>
          <cell r="J1878" t="str">
            <v>박리제</v>
          </cell>
          <cell r="L1878" t="str">
            <v>185-090084-01-011</v>
          </cell>
          <cell r="M1878" t="str">
            <v>기업은행</v>
          </cell>
          <cell r="N1878" t="str">
            <v>성현아이앤씨</v>
          </cell>
        </row>
        <row r="1879">
          <cell r="A1879" t="str">
            <v>미래</v>
          </cell>
          <cell r="B1879" t="str">
            <v>경기도 평택시 서탄면 회화길36-16</v>
          </cell>
          <cell r="C1879" t="str">
            <v>135-86-41000</v>
          </cell>
          <cell r="D1879" t="str">
            <v>031-352-6507</v>
          </cell>
          <cell r="E1879" t="str">
            <v>박리제</v>
          </cell>
          <cell r="I1879" t="str">
            <v>손정훈</v>
          </cell>
          <cell r="J1879" t="str">
            <v>박리제</v>
          </cell>
          <cell r="L1879" t="str">
            <v>504-070402-04-016</v>
          </cell>
          <cell r="M1879" t="str">
            <v>기업은행</v>
          </cell>
          <cell r="N1879" t="str">
            <v>미래</v>
          </cell>
        </row>
        <row r="1880">
          <cell r="A1880" t="str">
            <v>한강개발</v>
          </cell>
          <cell r="F1880" t="str">
            <v/>
          </cell>
          <cell r="G1880" t="str">
            <v/>
          </cell>
          <cell r="H1880" t="str">
            <v/>
          </cell>
          <cell r="L1880" t="str">
            <v>994401-01-267539</v>
          </cell>
          <cell r="M1880" t="str">
            <v>국민은행</v>
          </cell>
          <cell r="N1880" t="str">
            <v>박승규한강개발</v>
          </cell>
        </row>
        <row r="1881">
          <cell r="A1881" t="str">
            <v>신일압접</v>
          </cell>
          <cell r="D1881" t="str">
            <v>010-3730-6083</v>
          </cell>
          <cell r="L1881" t="str">
            <v>089501-04-081683</v>
          </cell>
          <cell r="M1881" t="str">
            <v>국민은행</v>
          </cell>
          <cell r="N1881" t="str">
            <v>윤종욱신일압접</v>
          </cell>
        </row>
        <row r="1882">
          <cell r="A1882" t="str">
            <v>가설백화점</v>
          </cell>
          <cell r="C1882" t="str">
            <v>742-88-00719</v>
          </cell>
          <cell r="D1882" t="str">
            <v>010-2374-0903</v>
          </cell>
          <cell r="E1882" t="str">
            <v>이관재대표</v>
          </cell>
          <cell r="F1882" t="str">
            <v/>
          </cell>
          <cell r="G1882" t="str">
            <v/>
          </cell>
          <cell r="H1882" t="str">
            <v/>
          </cell>
          <cell r="I1882" t="str">
            <v>이관재</v>
          </cell>
          <cell r="J1882" t="str">
            <v>가설자재</v>
          </cell>
          <cell r="L1882" t="str">
            <v>031-298-1771</v>
          </cell>
          <cell r="M1882" t="str">
            <v>우리은행</v>
          </cell>
          <cell r="N1882" t="str">
            <v>가설백화점</v>
          </cell>
        </row>
        <row r="1883">
          <cell r="A1883" t="str">
            <v>영남수지</v>
          </cell>
          <cell r="B1883" t="str">
            <v>단열재 캡</v>
          </cell>
          <cell r="C1883" t="str">
            <v>113-86-15502</v>
          </cell>
          <cell r="D1883" t="str">
            <v>02-2616-2670</v>
          </cell>
          <cell r="I1883" t="str">
            <v>양근영</v>
          </cell>
          <cell r="L1883" t="str">
            <v>077-112709-01-017</v>
          </cell>
          <cell r="M1883" t="str">
            <v>기업은행</v>
          </cell>
          <cell r="N1883" t="str">
            <v>영남수지산업</v>
          </cell>
        </row>
        <row r="1884">
          <cell r="A1884" t="str">
            <v>제이월드플러스</v>
          </cell>
          <cell r="B1884" t="str">
            <v>단열못,단열캡</v>
          </cell>
          <cell r="D1884" t="str">
            <v>02-868-3382</v>
          </cell>
          <cell r="L1884" t="str">
            <v>1005-201-890532</v>
          </cell>
          <cell r="M1884" t="str">
            <v>우리은행</v>
          </cell>
          <cell r="N1884" t="str">
            <v>제이월드플러스</v>
          </cell>
        </row>
        <row r="1885">
          <cell r="A1885" t="str">
            <v>대한버티미</v>
          </cell>
          <cell r="B1885" t="str">
            <v>충남 아산 신창면 남성리 62 대한버티미</v>
          </cell>
          <cell r="C1885">
            <v>1087138547</v>
          </cell>
          <cell r="D1885" t="str">
            <v>02-2678-7887</v>
          </cell>
          <cell r="F1885" t="str">
            <v/>
          </cell>
          <cell r="G1885" t="str">
            <v/>
          </cell>
          <cell r="H1885" t="str">
            <v/>
          </cell>
          <cell r="L1885" t="str">
            <v>071-064601-04-010</v>
          </cell>
          <cell r="M1885" t="str">
            <v>기업은행</v>
          </cell>
          <cell r="N1885" t="str">
            <v>㈜대한</v>
          </cell>
        </row>
        <row r="1886">
          <cell r="A1886" t="str">
            <v>동보운수</v>
          </cell>
          <cell r="B1886" t="str">
            <v>오승호</v>
          </cell>
          <cell r="C1886" t="str">
            <v>서울운수</v>
          </cell>
          <cell r="D1886" t="str">
            <v>011-727-1496</v>
          </cell>
          <cell r="F1886" t="str">
            <v/>
          </cell>
          <cell r="G1886" t="str">
            <v/>
          </cell>
          <cell r="H1886" t="str">
            <v/>
          </cell>
          <cell r="I1886" t="str">
            <v>화물운송</v>
          </cell>
          <cell r="L1886" t="str">
            <v>978-083263-02-001</v>
          </cell>
          <cell r="M1886" t="str">
            <v>우리은행</v>
          </cell>
          <cell r="N1886" t="str">
            <v>김정배서울운수</v>
          </cell>
        </row>
        <row r="1887">
          <cell r="A1887" t="str">
            <v>김형현</v>
          </cell>
          <cell r="B1887" t="str">
            <v>경기 화성 양감면 대양리 67-2</v>
          </cell>
          <cell r="C1887">
            <v>312354711</v>
          </cell>
          <cell r="D1887" t="str">
            <v>011-701-4711</v>
          </cell>
          <cell r="E1887" t="str">
            <v>고철</v>
          </cell>
          <cell r="F1887" t="str">
            <v/>
          </cell>
          <cell r="G1887" t="str">
            <v/>
          </cell>
          <cell r="H1887" t="str">
            <v/>
          </cell>
          <cell r="I1887" t="str">
            <v>대흥자원</v>
          </cell>
          <cell r="L1887" t="str">
            <v>2071-745217-5437</v>
          </cell>
          <cell r="M1887" t="str">
            <v>농협은행</v>
          </cell>
          <cell r="N1887" t="str">
            <v>대흥자원김형현</v>
          </cell>
        </row>
        <row r="1888">
          <cell r="A1888" t="str">
            <v>공영측기</v>
          </cell>
          <cell r="B1888" t="str">
            <v>과천시 돌무개길46,1층</v>
          </cell>
          <cell r="C1888" t="str">
            <v>114-81-60330</v>
          </cell>
          <cell r="D1888" t="str">
            <v>02-546-9888</v>
          </cell>
          <cell r="F1888" t="str">
            <v>여</v>
          </cell>
          <cell r="G1888">
            <v>116</v>
          </cell>
          <cell r="H1888" t="str">
            <v>외국인</v>
          </cell>
          <cell r="I1888" t="str">
            <v>박성린</v>
          </cell>
          <cell r="L1888" t="str">
            <v>150-04-113426</v>
          </cell>
          <cell r="M1888" t="str">
            <v>우리은행</v>
          </cell>
          <cell r="N1888" t="str">
            <v>공영측기</v>
          </cell>
          <cell r="Q1888" t="str">
            <v/>
          </cell>
        </row>
        <row r="1889">
          <cell r="A1889" t="str">
            <v>부천코아</v>
          </cell>
          <cell r="B1889" t="str">
            <v>경기도 안산시 단원구 원일2길32-1,301호,원곡동</v>
          </cell>
          <cell r="C1889" t="str">
            <v>659-60-00432</v>
          </cell>
          <cell r="D1889" t="str">
            <v>010-4538-3860</v>
          </cell>
          <cell r="E1889" t="str">
            <v>코아</v>
          </cell>
          <cell r="F1889" t="str">
            <v>여</v>
          </cell>
          <cell r="G1889">
            <v>62</v>
          </cell>
          <cell r="I1889" t="str">
            <v>HUANG RENXI황인석</v>
          </cell>
          <cell r="J1889" t="str">
            <v>협력업체</v>
          </cell>
          <cell r="K1889" t="str">
            <v>황인성</v>
          </cell>
          <cell r="L1889" t="str">
            <v>276-084907-01-011</v>
          </cell>
          <cell r="M1889" t="str">
            <v>기업은행</v>
          </cell>
          <cell r="N1889" t="str">
            <v>HUANG RENXI부천코아</v>
          </cell>
        </row>
        <row r="1890">
          <cell r="A1890" t="str">
            <v>에코이피에스</v>
          </cell>
          <cell r="B1890" t="str">
            <v>단열재(구.삼원EPS)-명일폼/구.성재상사</v>
          </cell>
          <cell r="C1890">
            <v>3538100941</v>
          </cell>
          <cell r="D1890" t="str">
            <v>010-4750-5116</v>
          </cell>
          <cell r="I1890" t="str">
            <v>박홍규</v>
          </cell>
          <cell r="L1890" t="str">
            <v>223-101376-01-018</v>
          </cell>
          <cell r="M1890" t="str">
            <v>기업은행</v>
          </cell>
          <cell r="N1890" t="str">
            <v>박홍규에코이피에스</v>
          </cell>
        </row>
        <row r="1891">
          <cell r="A1891" t="str">
            <v>반석</v>
          </cell>
          <cell r="B1891" t="str">
            <v>시스템 노무비</v>
          </cell>
          <cell r="C1891" t="str">
            <v>373-51-00012</v>
          </cell>
          <cell r="D1891" t="str">
            <v>010-4878-0904</v>
          </cell>
          <cell r="F1891" t="str">
            <v>여</v>
          </cell>
          <cell r="G1891">
            <v>90</v>
          </cell>
          <cell r="H1891" t="str">
            <v>-</v>
          </cell>
          <cell r="L1891" t="str">
            <v>301-0172-4771-61</v>
          </cell>
          <cell r="M1891" t="str">
            <v>농협은행</v>
          </cell>
          <cell r="N1891" t="str">
            <v>이정규반석</v>
          </cell>
        </row>
        <row r="1892">
          <cell r="A1892" t="str">
            <v>오일스토리관리사무소</v>
          </cell>
          <cell r="B1892" t="str">
            <v>경기 이천시 마장면 마도로 263</v>
          </cell>
          <cell r="C1892" t="str">
            <v>171-08-01082</v>
          </cell>
          <cell r="D1892" t="str">
            <v>02-2665-5808</v>
          </cell>
          <cell r="E1892" t="str">
            <v>등유</v>
          </cell>
          <cell r="I1892" t="str">
            <v>여순희외1명</v>
          </cell>
          <cell r="L1892" t="str">
            <v>444401-01-435381</v>
          </cell>
          <cell r="M1892" t="str">
            <v>국민은행</v>
          </cell>
          <cell r="N1892" t="str">
            <v>여순희(오일스토리 관리주유소)</v>
          </cell>
        </row>
        <row r="1893">
          <cell r="A1893" t="str">
            <v>오일스토리</v>
          </cell>
          <cell r="B1893" t="str">
            <v>인천 남동구 비류대로622,924</v>
          </cell>
          <cell r="C1893" t="str">
            <v>571-02-01320</v>
          </cell>
          <cell r="D1893" t="str">
            <v>02-2665-5808</v>
          </cell>
          <cell r="E1893" t="str">
            <v>열풍기</v>
          </cell>
          <cell r="I1893" t="str">
            <v>심규영</v>
          </cell>
          <cell r="L1893" t="str">
            <v>1005-304-466820</v>
          </cell>
          <cell r="M1893" t="str">
            <v>우리은행</v>
          </cell>
          <cell r="N1893" t="str">
            <v>심규영(오일스토리)</v>
          </cell>
        </row>
        <row r="1894">
          <cell r="A1894" t="str">
            <v>원주서비스</v>
          </cell>
          <cell r="B1894" t="str">
            <v>강원도 원주시 천사로 227(중앙동)</v>
          </cell>
          <cell r="C1894" t="str">
            <v>793-76-00053</v>
          </cell>
          <cell r="D1894" t="str">
            <v>033-734-8452</v>
          </cell>
          <cell r="E1894" t="str">
            <v>열풍기AS</v>
          </cell>
          <cell r="I1894" t="str">
            <v>장연화</v>
          </cell>
          <cell r="L1894" t="str">
            <v>301-0182-9795-81</v>
          </cell>
          <cell r="M1894" t="str">
            <v>농협은행</v>
          </cell>
          <cell r="N1894" t="str">
            <v>장연화</v>
          </cell>
        </row>
        <row r="1895">
          <cell r="A1895" t="str">
            <v>태양바브켓</v>
          </cell>
          <cell r="B1895" t="str">
            <v>충북 청주시 봉현로135,칠금동</v>
          </cell>
          <cell r="C1895" t="str">
            <v>575-05-00886</v>
          </cell>
          <cell r="D1895" t="str">
            <v>010-3099-4497</v>
          </cell>
          <cell r="E1895" t="str">
            <v>바브켓</v>
          </cell>
          <cell r="I1895" t="str">
            <v>손민준</v>
          </cell>
          <cell r="L1895" t="str">
            <v>302-1273-3156-71</v>
          </cell>
          <cell r="M1895" t="str">
            <v>농협은행</v>
          </cell>
          <cell r="N1895" t="str">
            <v>손민준</v>
          </cell>
        </row>
        <row r="1896">
          <cell r="A1896" t="str">
            <v>예손기업</v>
          </cell>
          <cell r="B1896" t="str">
            <v>천안 복합단열 박경오차장</v>
          </cell>
          <cell r="C1896" t="str">
            <v>303-81-50204</v>
          </cell>
          <cell r="D1896" t="str">
            <v>010-2488-6244</v>
          </cell>
          <cell r="E1896" t="str">
            <v>복합보드</v>
          </cell>
          <cell r="F1896" t="str">
            <v>남</v>
          </cell>
          <cell r="G1896">
            <v>97</v>
          </cell>
          <cell r="H1896" t="str">
            <v>외국인</v>
          </cell>
          <cell r="I1896" t="str">
            <v>김탁</v>
          </cell>
          <cell r="L1896" t="str">
            <v>584101-01-118001</v>
          </cell>
          <cell r="M1896" t="str">
            <v>국민은행</v>
          </cell>
          <cell r="N1896" t="str">
            <v>예손기업</v>
          </cell>
          <cell r="Q1896" t="str">
            <v/>
          </cell>
        </row>
        <row r="1897">
          <cell r="A1897" t="str">
            <v>우람코팅</v>
          </cell>
          <cell r="B1897" t="str">
            <v>경기도 김포시 대곶면 대곶북로165번길129</v>
          </cell>
          <cell r="C1897" t="str">
            <v>234-81-05494</v>
          </cell>
          <cell r="D1897" t="str">
            <v>031-987-4873</v>
          </cell>
          <cell r="E1897" t="str">
            <v>알폼코팅제</v>
          </cell>
          <cell r="I1897" t="str">
            <v>최승조</v>
          </cell>
          <cell r="L1897" t="str">
            <v>666-021206-01-017</v>
          </cell>
          <cell r="M1897" t="str">
            <v>기업은행</v>
          </cell>
          <cell r="N1897" t="str">
            <v>우람코팅(주)</v>
          </cell>
        </row>
        <row r="1898">
          <cell r="A1898" t="str">
            <v>금강씨에스</v>
          </cell>
          <cell r="B1898" t="str">
            <v>경북 경산시 하양읍 지식산업로2로4길 22</v>
          </cell>
          <cell r="C1898" t="str">
            <v>515-81-34020</v>
          </cell>
          <cell r="D1898" t="str">
            <v>010-3555-4311</v>
          </cell>
          <cell r="E1898" t="str">
            <v>소방부품</v>
          </cell>
          <cell r="I1898" t="str">
            <v>김광태</v>
          </cell>
          <cell r="L1898" t="str">
            <v>301-0343-6126-11</v>
          </cell>
          <cell r="M1898" t="str">
            <v>농협은행</v>
          </cell>
          <cell r="N1898" t="str">
            <v>(주)금강씨에스</v>
          </cell>
        </row>
        <row r="1899">
          <cell r="A1899" t="str">
            <v>유성애드</v>
          </cell>
          <cell r="B1899" t="str">
            <v>서울시 구로구 오리로15길22</v>
          </cell>
          <cell r="C1899" t="str">
            <v>113-86-11641</v>
          </cell>
          <cell r="D1899" t="str">
            <v>02-2617-0876</v>
          </cell>
          <cell r="E1899" t="str">
            <v>광고물제작</v>
          </cell>
          <cell r="I1899" t="str">
            <v>김선우</v>
          </cell>
          <cell r="L1899" t="str">
            <v>526537-01-001375</v>
          </cell>
          <cell r="M1899" t="str">
            <v>국민은행</v>
          </cell>
          <cell r="N1899" t="str">
            <v>유성애드</v>
          </cell>
        </row>
        <row r="1900">
          <cell r="A1900" t="str">
            <v>금강공업</v>
          </cell>
          <cell r="B1900" t="str">
            <v>충북 음성군 음성읍 용광로505</v>
          </cell>
          <cell r="C1900" t="str">
            <v>303-85-17329</v>
          </cell>
          <cell r="D1900" t="str">
            <v>010-9033-6771</v>
          </cell>
          <cell r="E1900" t="str">
            <v>건설기자재</v>
          </cell>
          <cell r="I1900" t="str">
            <v>전호준</v>
          </cell>
          <cell r="L1900" t="str">
            <v>100-013-637206</v>
          </cell>
          <cell r="M1900" t="str">
            <v>신한은행</v>
          </cell>
          <cell r="N1900" t="str">
            <v>금강공업</v>
          </cell>
        </row>
        <row r="1901">
          <cell r="A1901" t="str">
            <v>미성강업</v>
          </cell>
          <cell r="B1901" t="str">
            <v>서울 서초구 반포대로 104 서일빌딩 6층</v>
          </cell>
          <cell r="C1901" t="str">
            <v>108-81-44368</v>
          </cell>
          <cell r="D1901" t="str">
            <v>031-686-7021</v>
          </cell>
          <cell r="E1901" t="str">
            <v>김슬기로과장</v>
          </cell>
          <cell r="I1901" t="str">
            <v>이군래</v>
          </cell>
          <cell r="L1901" t="str">
            <v>140-000-532119</v>
          </cell>
          <cell r="M1901" t="str">
            <v>신한은행</v>
          </cell>
          <cell r="N1901" t="str">
            <v>미성강업㈜이군래</v>
          </cell>
        </row>
        <row r="1902">
          <cell r="A1902" t="str">
            <v>진흥유로폼</v>
          </cell>
          <cell r="B1902" t="str">
            <v>이천시 설성면 진상미로490-23</v>
          </cell>
          <cell r="C1902" t="str">
            <v>125-81-53746</v>
          </cell>
          <cell r="D1902" t="str">
            <v>031-642-3013</v>
          </cell>
          <cell r="F1902" t="str">
            <v>남</v>
          </cell>
          <cell r="G1902">
            <v>115</v>
          </cell>
          <cell r="H1902" t="str">
            <v>외국인</v>
          </cell>
          <cell r="I1902" t="str">
            <v>유로폼 수리/임대</v>
          </cell>
          <cell r="L1902" t="str">
            <v>301837-01-002388</v>
          </cell>
          <cell r="M1902" t="str">
            <v>국민은행</v>
          </cell>
          <cell r="N1902" t="str">
            <v>진흥유로폼</v>
          </cell>
          <cell r="Q1902" t="str">
            <v/>
          </cell>
        </row>
        <row r="1903">
          <cell r="A1903" t="str">
            <v>남광공구</v>
          </cell>
          <cell r="B1903" t="str">
            <v>인천시 부평구 청천동200, 금호타운101-2001</v>
          </cell>
          <cell r="C1903" t="str">
            <v>122-15-73879</v>
          </cell>
          <cell r="D1903" t="str">
            <v>032-363-3633</v>
          </cell>
          <cell r="I1903" t="str">
            <v>김성훈</v>
          </cell>
          <cell r="L1903" t="str">
            <v>490-810068-97507</v>
          </cell>
          <cell r="M1903" t="str">
            <v>하나은행</v>
          </cell>
          <cell r="N1903" t="str">
            <v>김성운남광공구</v>
          </cell>
        </row>
        <row r="1904">
          <cell r="A1904" t="str">
            <v>차칸물류</v>
          </cell>
          <cell r="B1904" t="str">
            <v>서울시 강남구 선릉로529번길,함양재빌딩2293</v>
          </cell>
          <cell r="C1904" t="str">
            <v>751-37-01383</v>
          </cell>
          <cell r="D1904" t="str">
            <v>010-3084-3236</v>
          </cell>
          <cell r="E1904" t="str">
            <v>화물/운송</v>
          </cell>
          <cell r="I1904" t="str">
            <v>정재은</v>
          </cell>
          <cell r="L1904" t="str">
            <v>915-910374-73107</v>
          </cell>
          <cell r="M1904" t="str">
            <v>하나은행</v>
          </cell>
          <cell r="N1904" t="str">
            <v>차칸물류정재은</v>
          </cell>
        </row>
        <row r="1905">
          <cell r="A1905" t="str">
            <v>봉이김선달샘물</v>
          </cell>
          <cell r="B1905" t="str">
            <v>원주시 혁신로92,410동 1601호</v>
          </cell>
          <cell r="C1905" t="str">
            <v>224-10-77614</v>
          </cell>
          <cell r="D1905" t="str">
            <v>010-9080-4813</v>
          </cell>
          <cell r="I1905" t="str">
            <v>이철영</v>
          </cell>
          <cell r="L1905" t="str">
            <v>307129-51-192965</v>
          </cell>
          <cell r="M1905" t="str">
            <v>농협은행</v>
          </cell>
          <cell r="N1905" t="str">
            <v>이철영강원샘물</v>
          </cell>
        </row>
        <row r="1906">
          <cell r="A1906" t="str">
            <v>하이브산업</v>
          </cell>
          <cell r="B1906" t="str">
            <v>인천시 중구 인중로290,B동 1605호</v>
          </cell>
          <cell r="C1906" t="str">
            <v>586-25-01165</v>
          </cell>
          <cell r="D1906" t="str">
            <v>010-3505-7499</v>
          </cell>
          <cell r="E1906" t="str">
            <v>보양천막</v>
          </cell>
          <cell r="I1906" t="str">
            <v>이창환</v>
          </cell>
          <cell r="L1906" t="str">
            <v>757301-00-261670</v>
          </cell>
          <cell r="M1906" t="str">
            <v>국민은행</v>
          </cell>
          <cell r="N1906" t="str">
            <v>이창환하이브산업</v>
          </cell>
        </row>
        <row r="1907">
          <cell r="A1907" t="str">
            <v>엠플렉스</v>
          </cell>
          <cell r="B1907" t="str">
            <v>경기도 여주시 가암읍 가남로132</v>
          </cell>
          <cell r="C1907" t="str">
            <v>138-88-01694</v>
          </cell>
          <cell r="D1907" t="str">
            <v>031-886-9222</v>
          </cell>
          <cell r="E1907" t="str">
            <v>단열퍼티</v>
          </cell>
          <cell r="I1907" t="str">
            <v>김규호</v>
          </cell>
          <cell r="L1907" t="str">
            <v>564-056555-04-011</v>
          </cell>
          <cell r="M1907" t="str">
            <v>기업은행</v>
          </cell>
          <cell r="N1907" t="str">
            <v>(주)엠플렉스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92E2-6EEB-456C-9963-8A8DCDBD7981}">
  <sheetPr>
    <pageSetUpPr fitToPage="1"/>
  </sheetPr>
  <dimension ref="A1:AY309"/>
  <sheetViews>
    <sheetView tabSelected="1" view="pageBreakPreview" zoomScale="85" zoomScaleSheetLayoutView="85" workbookViewId="0">
      <selection activeCell="Q10" sqref="Q10"/>
    </sheetView>
  </sheetViews>
  <sheetFormatPr defaultColWidth="9" defaultRowHeight="16.5" x14ac:dyDescent="0.3"/>
  <cols>
    <col min="1" max="1" width="7.625" customWidth="1"/>
    <col min="2" max="3" width="11" customWidth="1"/>
    <col min="4" max="4" width="22.75" customWidth="1"/>
    <col min="5" max="35" width="3.375" customWidth="1"/>
    <col min="36" max="36" width="5.5" customWidth="1"/>
    <col min="38" max="38" width="9.25" bestFit="1" customWidth="1"/>
    <col min="40" max="40" width="9" style="1"/>
    <col min="41" max="41" width="9.5" style="1" bestFit="1" customWidth="1"/>
    <col min="42" max="51" width="9" style="1"/>
  </cols>
  <sheetData>
    <row r="1" spans="1:42" ht="51.75" customHeight="1" x14ac:dyDescent="0.3">
      <c r="A1" s="60" t="s">
        <v>148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</row>
    <row r="2" spans="1:42" ht="18" customHeight="1" x14ac:dyDescent="0.3">
      <c r="A2" s="61" t="s">
        <v>0</v>
      </c>
      <c r="B2" s="62"/>
      <c r="C2" s="61" t="s">
        <v>1</v>
      </c>
      <c r="D2" s="62"/>
      <c r="E2" s="2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5"/>
      <c r="AD2" s="5"/>
      <c r="AE2" s="5"/>
      <c r="AF2" s="6"/>
      <c r="AG2" s="3"/>
      <c r="AH2" s="65"/>
      <c r="AI2" s="65"/>
      <c r="AJ2" s="65"/>
      <c r="AK2" s="66" t="s">
        <v>2</v>
      </c>
      <c r="AL2" s="67" t="str">
        <f>[1]관리!AL2</f>
        <v>원주무실 공동주택 신축공사</v>
      </c>
      <c r="AM2" s="68"/>
    </row>
    <row r="3" spans="1:42" ht="18" customHeight="1" x14ac:dyDescent="0.3">
      <c r="A3" s="63"/>
      <c r="B3" s="64"/>
      <c r="C3" s="63"/>
      <c r="D3" s="64"/>
      <c r="E3" s="7"/>
      <c r="F3" s="7"/>
      <c r="G3" s="8"/>
      <c r="H3" s="8"/>
      <c r="I3" s="8"/>
      <c r="J3" s="8"/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9"/>
      <c r="AC3" s="9"/>
      <c r="AD3" s="9"/>
      <c r="AE3" s="9"/>
      <c r="AF3" s="10"/>
      <c r="AG3" s="11"/>
      <c r="AH3" s="71"/>
      <c r="AI3" s="71"/>
      <c r="AJ3" s="71"/>
      <c r="AK3" s="66"/>
      <c r="AL3" s="69"/>
      <c r="AM3" s="70"/>
    </row>
    <row r="4" spans="1:42" ht="16.5" customHeight="1" x14ac:dyDescent="0.3">
      <c r="A4" s="53" t="s">
        <v>3</v>
      </c>
      <c r="B4" s="12"/>
      <c r="C4" s="46" t="s">
        <v>4</v>
      </c>
      <c r="D4" s="46" t="s">
        <v>5</v>
      </c>
      <c r="E4" s="54">
        <v>46237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J4" s="57" t="s">
        <v>6</v>
      </c>
      <c r="AK4" s="57" t="s">
        <v>7</v>
      </c>
      <c r="AL4" s="46" t="s">
        <v>8</v>
      </c>
      <c r="AM4" s="46" t="s">
        <v>9</v>
      </c>
    </row>
    <row r="5" spans="1:42" ht="16.5" customHeight="1" x14ac:dyDescent="0.3">
      <c r="A5" s="53"/>
      <c r="B5" s="13" t="s">
        <v>10</v>
      </c>
      <c r="C5" s="47"/>
      <c r="D5" s="47"/>
      <c r="E5" s="14">
        <v>46143</v>
      </c>
      <c r="F5" s="15">
        <v>46144</v>
      </c>
      <c r="G5" s="14">
        <v>46145</v>
      </c>
      <c r="H5" s="14">
        <v>46146</v>
      </c>
      <c r="I5" s="14">
        <v>46147</v>
      </c>
      <c r="J5" s="14">
        <v>46148</v>
      </c>
      <c r="K5" s="14">
        <v>46149</v>
      </c>
      <c r="L5" s="14">
        <v>46150</v>
      </c>
      <c r="M5" s="15">
        <v>46151</v>
      </c>
      <c r="N5" s="14">
        <v>46152</v>
      </c>
      <c r="O5" s="14">
        <v>46153</v>
      </c>
      <c r="P5" s="14">
        <v>46154</v>
      </c>
      <c r="Q5" s="14">
        <v>46155</v>
      </c>
      <c r="R5" s="14">
        <v>46156</v>
      </c>
      <c r="S5" s="14">
        <v>46157</v>
      </c>
      <c r="T5" s="15">
        <v>46158</v>
      </c>
      <c r="U5" s="14">
        <v>46159</v>
      </c>
      <c r="V5" s="14">
        <v>46160</v>
      </c>
      <c r="W5" s="14">
        <v>46161</v>
      </c>
      <c r="X5" s="14">
        <v>46162</v>
      </c>
      <c r="Y5" s="14">
        <v>46163</v>
      </c>
      <c r="Z5" s="14">
        <v>46164</v>
      </c>
      <c r="AA5" s="15">
        <v>46165</v>
      </c>
      <c r="AB5" s="14">
        <v>46166</v>
      </c>
      <c r="AC5" s="14">
        <v>46167</v>
      </c>
      <c r="AD5" s="14">
        <v>46168</v>
      </c>
      <c r="AE5" s="14">
        <v>46169</v>
      </c>
      <c r="AF5" s="14">
        <v>46170</v>
      </c>
      <c r="AG5" s="14">
        <v>46171</v>
      </c>
      <c r="AH5" s="15">
        <v>46172</v>
      </c>
      <c r="AI5" s="14">
        <v>46173</v>
      </c>
      <c r="AJ5" s="58"/>
      <c r="AK5" s="58"/>
      <c r="AL5" s="47"/>
      <c r="AM5" s="47"/>
      <c r="AO5" s="49" t="s">
        <v>11</v>
      </c>
      <c r="AP5" s="49"/>
    </row>
    <row r="6" spans="1:42" ht="16.5" customHeight="1" x14ac:dyDescent="0.3">
      <c r="A6" s="53"/>
      <c r="B6" s="16" t="s">
        <v>12</v>
      </c>
      <c r="C6" s="48"/>
      <c r="D6" s="48"/>
      <c r="E6" s="17" t="s">
        <v>66</v>
      </c>
      <c r="F6" s="18" t="s">
        <v>67</v>
      </c>
      <c r="G6" s="17" t="s">
        <v>15</v>
      </c>
      <c r="H6" s="17" t="s">
        <v>16</v>
      </c>
      <c r="I6" s="17" t="s">
        <v>17</v>
      </c>
      <c r="J6" s="17" t="s">
        <v>18</v>
      </c>
      <c r="K6" s="17" t="s">
        <v>13</v>
      </c>
      <c r="L6" s="17" t="s">
        <v>14</v>
      </c>
      <c r="M6" s="18" t="s">
        <v>67</v>
      </c>
      <c r="N6" s="17" t="s">
        <v>15</v>
      </c>
      <c r="O6" s="17" t="s">
        <v>16</v>
      </c>
      <c r="P6" s="17" t="s">
        <v>17</v>
      </c>
      <c r="Q6" s="17" t="s">
        <v>18</v>
      </c>
      <c r="R6" s="17" t="s">
        <v>13</v>
      </c>
      <c r="S6" s="17" t="s">
        <v>14</v>
      </c>
      <c r="T6" s="18" t="s">
        <v>67</v>
      </c>
      <c r="U6" s="17" t="s">
        <v>15</v>
      </c>
      <c r="V6" s="17" t="s">
        <v>16</v>
      </c>
      <c r="W6" s="17" t="s">
        <v>17</v>
      </c>
      <c r="X6" s="17" t="s">
        <v>18</v>
      </c>
      <c r="Y6" s="17" t="s">
        <v>13</v>
      </c>
      <c r="Z6" s="17" t="s">
        <v>14</v>
      </c>
      <c r="AA6" s="18" t="s">
        <v>67</v>
      </c>
      <c r="AB6" s="17" t="s">
        <v>15</v>
      </c>
      <c r="AC6" s="17" t="s">
        <v>16</v>
      </c>
      <c r="AD6" s="17" t="s">
        <v>17</v>
      </c>
      <c r="AE6" s="17" t="s">
        <v>18</v>
      </c>
      <c r="AF6" s="17" t="s">
        <v>13</v>
      </c>
      <c r="AG6" s="17" t="s">
        <v>14</v>
      </c>
      <c r="AH6" s="18" t="s">
        <v>67</v>
      </c>
      <c r="AI6" s="17" t="s">
        <v>15</v>
      </c>
      <c r="AJ6" s="59"/>
      <c r="AK6" s="59"/>
      <c r="AL6" s="48"/>
      <c r="AM6" s="48"/>
      <c r="AO6" s="49"/>
      <c r="AP6" s="49"/>
    </row>
    <row r="7" spans="1:42" ht="16.5" customHeight="1" x14ac:dyDescent="0.3">
      <c r="A7" s="19"/>
      <c r="B7" s="20" t="str">
        <f t="shared" ref="B7:B49" si="0">IF(A7="","",VLOOKUP(A7,원주인명부,9,0))</f>
        <v/>
      </c>
      <c r="C7" s="21" t="str">
        <f t="shared" ref="C7:C49" si="1">IF(A7="","",VLOOKUP(A7,원주인명부,3,0))</f>
        <v/>
      </c>
      <c r="D7" s="22" t="str">
        <f t="shared" ref="D7:D49" si="2">IF(A7="","",VLOOKUP(A7,원주인명부,2,0))</f>
        <v/>
      </c>
      <c r="E7" s="23" t="str">
        <f t="shared" ref="E7:T8" si="3">IF(ISERROR(IF($A7="","",VLOOKUP($A7,출력,2,FALSE))),"",IF($A7="","",VLOOKUP($A7,출력,2,FALSE)))</f>
        <v/>
      </c>
      <c r="F7" s="23" t="str">
        <f t="shared" si="3"/>
        <v/>
      </c>
      <c r="G7" s="23" t="str">
        <f t="shared" si="3"/>
        <v/>
      </c>
      <c r="H7" s="23" t="str">
        <f t="shared" si="3"/>
        <v/>
      </c>
      <c r="I7" s="23" t="str">
        <f t="shared" si="3"/>
        <v/>
      </c>
      <c r="J7" s="23" t="str">
        <f t="shared" si="3"/>
        <v/>
      </c>
      <c r="K7" s="23" t="str">
        <f t="shared" si="3"/>
        <v/>
      </c>
      <c r="L7" s="23" t="str">
        <f t="shared" si="3"/>
        <v/>
      </c>
      <c r="M7" s="23" t="str">
        <f t="shared" si="3"/>
        <v/>
      </c>
      <c r="N7" s="23" t="str">
        <f t="shared" si="3"/>
        <v/>
      </c>
      <c r="O7" s="23" t="str">
        <f t="shared" si="3"/>
        <v/>
      </c>
      <c r="P7" s="23" t="str">
        <f t="shared" si="3"/>
        <v/>
      </c>
      <c r="Q7" s="23" t="str">
        <f t="shared" si="3"/>
        <v/>
      </c>
      <c r="R7" s="23" t="str">
        <f t="shared" si="3"/>
        <v/>
      </c>
      <c r="S7" s="23" t="str">
        <f t="shared" si="3"/>
        <v/>
      </c>
      <c r="T7" s="23" t="str">
        <f t="shared" si="3"/>
        <v/>
      </c>
      <c r="U7" s="23" t="str">
        <f t="shared" ref="U7:AI8" si="4">IF(ISERROR(IF($A7="","",VLOOKUP($A7,출력,2,FALSE))),"",IF($A7="","",VLOOKUP($A7,출력,2,FALSE)))</f>
        <v/>
      </c>
      <c r="V7" s="23" t="str">
        <f t="shared" si="4"/>
        <v/>
      </c>
      <c r="W7" s="23" t="str">
        <f t="shared" si="4"/>
        <v/>
      </c>
      <c r="X7" s="23" t="str">
        <f t="shared" si="4"/>
        <v/>
      </c>
      <c r="Y7" s="23" t="str">
        <f t="shared" si="4"/>
        <v/>
      </c>
      <c r="Z7" s="23" t="str">
        <f t="shared" si="4"/>
        <v/>
      </c>
      <c r="AA7" s="23" t="str">
        <f t="shared" si="4"/>
        <v/>
      </c>
      <c r="AB7" s="23" t="str">
        <f t="shared" si="4"/>
        <v/>
      </c>
      <c r="AC7" s="23" t="str">
        <f t="shared" si="4"/>
        <v/>
      </c>
      <c r="AD7" s="23" t="str">
        <f t="shared" si="4"/>
        <v/>
      </c>
      <c r="AE7" s="23" t="str">
        <f t="shared" si="4"/>
        <v/>
      </c>
      <c r="AF7" s="23" t="str">
        <f t="shared" si="4"/>
        <v/>
      </c>
      <c r="AG7" s="23" t="str">
        <f t="shared" si="4"/>
        <v/>
      </c>
      <c r="AH7" s="23" t="str">
        <f t="shared" si="4"/>
        <v/>
      </c>
      <c r="AI7" s="23" t="str">
        <f t="shared" si="4"/>
        <v/>
      </c>
      <c r="AJ7" s="24">
        <f t="shared" ref="AJ7:AJ49" si="5">SUM(E7:AI7)</f>
        <v>0</v>
      </c>
      <c r="AK7" s="25" t="str">
        <f t="shared" ref="AK7:AK49" si="6">IF(ISERROR(IF(A7="","",VLOOKUP(A7,원주인명부,5,0))),"",IF(A7="","",VLOOKUP(A7,원주인명부,5,0)))</f>
        <v/>
      </c>
      <c r="AL7" s="26" t="str">
        <f t="shared" ref="AL7:AL49" si="7">IF(ISERROR(AJ7*AK7),"",AJ7*AK7)</f>
        <v/>
      </c>
      <c r="AM7" s="26"/>
    </row>
    <row r="8" spans="1:42" ht="16.5" customHeight="1" x14ac:dyDescent="0.3">
      <c r="A8" s="19" t="s">
        <v>64</v>
      </c>
      <c r="B8" s="20"/>
      <c r="C8" s="21"/>
      <c r="D8" s="22"/>
      <c r="E8" s="23" t="s">
        <v>19</v>
      </c>
      <c r="F8" s="23" t="s">
        <v>19</v>
      </c>
      <c r="G8" s="23" t="s">
        <v>19</v>
      </c>
      <c r="H8" s="23" t="s">
        <v>19</v>
      </c>
      <c r="I8" s="23" t="str">
        <f t="shared" si="3"/>
        <v/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23" t="s">
        <v>19</v>
      </c>
      <c r="P8" s="23" t="str">
        <f t="shared" si="3"/>
        <v/>
      </c>
      <c r="Q8" s="23" t="s">
        <v>19</v>
      </c>
      <c r="R8" s="23"/>
      <c r="S8" s="23" t="s">
        <v>19</v>
      </c>
      <c r="T8" s="23" t="s">
        <v>19</v>
      </c>
      <c r="U8" s="23" t="s">
        <v>19</v>
      </c>
      <c r="V8" s="23" t="s">
        <v>19</v>
      </c>
      <c r="W8" s="23" t="str">
        <f t="shared" si="4"/>
        <v/>
      </c>
      <c r="X8" s="23" t="s">
        <v>19</v>
      </c>
      <c r="Y8" s="23" t="s">
        <v>19</v>
      </c>
      <c r="Z8" s="23" t="s">
        <v>19</v>
      </c>
      <c r="AA8" s="23" t="s">
        <v>19</v>
      </c>
      <c r="AB8" s="23" t="s">
        <v>19</v>
      </c>
      <c r="AC8" s="23" t="s">
        <v>19</v>
      </c>
      <c r="AD8" s="23" t="str">
        <f t="shared" si="4"/>
        <v/>
      </c>
      <c r="AE8" s="23" t="s">
        <v>19</v>
      </c>
      <c r="AF8" s="23" t="s">
        <v>19</v>
      </c>
      <c r="AG8" s="23" t="str">
        <f t="shared" si="4"/>
        <v/>
      </c>
      <c r="AH8" s="23" t="s">
        <v>19</v>
      </c>
      <c r="AI8" s="23" t="s">
        <v>19</v>
      </c>
      <c r="AJ8" s="24">
        <f t="shared" si="5"/>
        <v>0</v>
      </c>
      <c r="AK8" s="25" t="str">
        <f t="shared" si="6"/>
        <v/>
      </c>
      <c r="AL8" s="26" t="str">
        <f t="shared" si="7"/>
        <v/>
      </c>
      <c r="AM8" s="26"/>
    </row>
    <row r="9" spans="1:42" ht="16.5" customHeight="1" x14ac:dyDescent="0.3">
      <c r="A9" s="27" t="s">
        <v>20</v>
      </c>
      <c r="B9" s="28">
        <v>0</v>
      </c>
      <c r="C9" s="21" t="s">
        <v>136</v>
      </c>
      <c r="D9" s="22" t="s">
        <v>137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4">
        <f t="shared" si="5"/>
        <v>0</v>
      </c>
      <c r="AK9" s="25">
        <f t="shared" si="6"/>
        <v>150000</v>
      </c>
      <c r="AL9" s="26">
        <f t="shared" si="7"/>
        <v>0</v>
      </c>
      <c r="AM9" s="26"/>
      <c r="AO9" s="29"/>
      <c r="AP9" s="29"/>
    </row>
    <row r="10" spans="1:42" ht="16.5" customHeight="1" x14ac:dyDescent="0.3">
      <c r="A10" s="27" t="s">
        <v>21</v>
      </c>
      <c r="B10" s="20">
        <v>0</v>
      </c>
      <c r="C10" s="21" t="s">
        <v>138</v>
      </c>
      <c r="D10" s="22" t="s">
        <v>139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4">
        <f t="shared" si="5"/>
        <v>0</v>
      </c>
      <c r="AK10" s="25">
        <f t="shared" si="6"/>
        <v>150000</v>
      </c>
      <c r="AL10" s="26">
        <f t="shared" si="7"/>
        <v>0</v>
      </c>
      <c r="AM10" s="26"/>
      <c r="AO10" s="29" t="str">
        <f>IF(A10="","",VLOOKUP(A10,원주인명부,17,0))</f>
        <v/>
      </c>
      <c r="AP10" s="29">
        <f>IF(A10="","",VLOOKUP(A10,원주인명부,16,0))</f>
        <v>0</v>
      </c>
    </row>
    <row r="11" spans="1:42" ht="16.5" customHeight="1" x14ac:dyDescent="0.3">
      <c r="A11" s="27" t="s">
        <v>22</v>
      </c>
      <c r="B11" s="28">
        <v>0</v>
      </c>
      <c r="C11" s="21" t="s">
        <v>140</v>
      </c>
      <c r="D11" s="22" t="s">
        <v>141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>
        <f t="shared" si="5"/>
        <v>0</v>
      </c>
      <c r="AK11" s="25">
        <f t="shared" ref="AK11" si="8">IF(ISERROR(IF(A11="","",VLOOKUP(A11,원주인명부,5,0))),"",IF(A11="","",VLOOKUP(A11,원주인명부,5,0)))</f>
        <v>150000</v>
      </c>
      <c r="AL11" s="26">
        <f t="shared" si="7"/>
        <v>0</v>
      </c>
      <c r="AM11" s="26"/>
    </row>
    <row r="12" spans="1:42" ht="16.5" customHeight="1" x14ac:dyDescent="0.3">
      <c r="A12" s="27" t="s">
        <v>23</v>
      </c>
      <c r="B12" s="28">
        <v>0</v>
      </c>
      <c r="C12" s="21" t="s">
        <v>142</v>
      </c>
      <c r="D12" s="22" t="s">
        <v>143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4">
        <f t="shared" si="5"/>
        <v>0</v>
      </c>
      <c r="AK12" s="25">
        <f t="shared" si="6"/>
        <v>150000</v>
      </c>
      <c r="AL12" s="26">
        <f t="shared" si="7"/>
        <v>0</v>
      </c>
      <c r="AM12" s="26"/>
    </row>
    <row r="13" spans="1:42" ht="16.5" customHeight="1" x14ac:dyDescent="0.3">
      <c r="A13" s="19" t="s">
        <v>24</v>
      </c>
      <c r="B13" s="20">
        <v>0</v>
      </c>
      <c r="C13" s="21" t="s">
        <v>144</v>
      </c>
      <c r="D13" s="22" t="s">
        <v>145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4">
        <f t="shared" si="5"/>
        <v>0</v>
      </c>
      <c r="AK13" s="25">
        <f t="shared" si="6"/>
        <v>150000</v>
      </c>
      <c r="AL13" s="26">
        <f t="shared" si="7"/>
        <v>0</v>
      </c>
      <c r="AM13" s="26"/>
    </row>
    <row r="14" spans="1:42" ht="16.5" customHeight="1" x14ac:dyDescent="0.3">
      <c r="A14" s="27" t="s">
        <v>25</v>
      </c>
      <c r="B14" s="20">
        <v>0</v>
      </c>
      <c r="C14" s="21" t="s">
        <v>146</v>
      </c>
      <c r="D14" s="22" t="s">
        <v>147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>
        <f t="shared" si="5"/>
        <v>0</v>
      </c>
      <c r="AK14" s="25">
        <f t="shared" si="6"/>
        <v>150000</v>
      </c>
      <c r="AL14" s="26">
        <f t="shared" si="7"/>
        <v>0</v>
      </c>
      <c r="AM14" s="26"/>
      <c r="AO14" s="29">
        <f>IF(A14="","",VLOOKUP(A14,원주인명부,17,0))</f>
        <v>0</v>
      </c>
      <c r="AP14" s="29">
        <f>IF(A14="","",VLOOKUP(A14,원주인명부,16,0))</f>
        <v>0</v>
      </c>
    </row>
    <row r="15" spans="1:42" ht="16.5" customHeight="1" x14ac:dyDescent="0.3">
      <c r="A15" s="27"/>
      <c r="B15" s="20" t="s">
        <v>19</v>
      </c>
      <c r="C15" s="21" t="s">
        <v>19</v>
      </c>
      <c r="D15" s="22" t="s">
        <v>19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4">
        <f t="shared" si="5"/>
        <v>0</v>
      </c>
      <c r="AK15" s="25" t="str">
        <f t="shared" si="6"/>
        <v/>
      </c>
      <c r="AL15" s="26" t="str">
        <f t="shared" si="7"/>
        <v/>
      </c>
      <c r="AM15" s="26"/>
    </row>
    <row r="16" spans="1:42" ht="16.5" customHeight="1" x14ac:dyDescent="0.3">
      <c r="A16" s="19" t="s">
        <v>65</v>
      </c>
      <c r="B16" s="20"/>
      <c r="C16" s="21"/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4">
        <f t="shared" si="5"/>
        <v>0</v>
      </c>
      <c r="AK16" s="25" t="str">
        <f t="shared" si="6"/>
        <v/>
      </c>
      <c r="AL16" s="26" t="str">
        <f t="shared" si="7"/>
        <v/>
      </c>
      <c r="AM16" s="26"/>
    </row>
    <row r="17" spans="1:42" ht="16.5" customHeight="1" x14ac:dyDescent="0.3">
      <c r="A17" s="30" t="s">
        <v>26</v>
      </c>
      <c r="B17" s="31" t="s">
        <v>68</v>
      </c>
      <c r="C17" s="32" t="s">
        <v>69</v>
      </c>
      <c r="D17" s="33" t="s">
        <v>70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4">
        <f t="shared" si="5"/>
        <v>0</v>
      </c>
      <c r="AK17" s="25">
        <f t="shared" ref="AK17" si="9">IF(ISERROR(IF(A17="","",VLOOKUP(A17,원주인명부,5,0))),"",IF(A17="","",VLOOKUP(A17,원주인명부,5,0)))</f>
        <v>160000</v>
      </c>
      <c r="AL17" s="26">
        <f t="shared" si="7"/>
        <v>0</v>
      </c>
      <c r="AM17" s="26"/>
      <c r="AO17" s="29"/>
      <c r="AP17" s="29"/>
    </row>
    <row r="18" spans="1:42" ht="16.5" customHeight="1" x14ac:dyDescent="0.3">
      <c r="A18" s="30" t="s">
        <v>27</v>
      </c>
      <c r="B18" s="31" t="s">
        <v>71</v>
      </c>
      <c r="C18" s="32" t="s">
        <v>72</v>
      </c>
      <c r="D18" s="33">
        <v>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4">
        <f t="shared" si="5"/>
        <v>0</v>
      </c>
      <c r="AK18" s="25">
        <f t="shared" ref="AK18:AK36" si="10">IF(ISERROR(IF(A18="","",VLOOKUP(A18,원주인명부,5,0))),"",IF(A18="","",VLOOKUP(A18,원주인명부,5,0)))</f>
        <v>140000</v>
      </c>
      <c r="AL18" s="26">
        <f t="shared" si="7"/>
        <v>0</v>
      </c>
      <c r="AM18" s="26"/>
      <c r="AO18" s="29">
        <f>IF(A18="","",VLOOKUP(A18,원주인명부,17,0))</f>
        <v>0</v>
      </c>
      <c r="AP18" s="29">
        <f>IF(A18="","",VLOOKUP(A18,원주인명부,16,0))</f>
        <v>0</v>
      </c>
    </row>
    <row r="19" spans="1:42" ht="16.5" customHeight="1" x14ac:dyDescent="0.3">
      <c r="A19" s="30" t="s">
        <v>28</v>
      </c>
      <c r="B19" s="31" t="s">
        <v>73</v>
      </c>
      <c r="C19" s="32" t="s">
        <v>74</v>
      </c>
      <c r="D19" s="33">
        <v>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4">
        <f t="shared" si="5"/>
        <v>0</v>
      </c>
      <c r="AK19" s="25">
        <f t="shared" si="10"/>
        <v>140000</v>
      </c>
      <c r="AL19" s="26">
        <f t="shared" si="7"/>
        <v>0</v>
      </c>
      <c r="AM19" s="26"/>
      <c r="AO19" s="29"/>
      <c r="AP19" s="29"/>
    </row>
    <row r="20" spans="1:42" ht="16.5" customHeight="1" x14ac:dyDescent="0.3">
      <c r="A20" s="30" t="s">
        <v>29</v>
      </c>
      <c r="B20" s="31" t="s">
        <v>75</v>
      </c>
      <c r="C20" s="32" t="s">
        <v>76</v>
      </c>
      <c r="D20" s="33" t="s">
        <v>70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>
        <f t="shared" si="5"/>
        <v>0</v>
      </c>
      <c r="AK20" s="25">
        <f t="shared" si="10"/>
        <v>140000</v>
      </c>
      <c r="AL20" s="26">
        <f t="shared" si="7"/>
        <v>0</v>
      </c>
      <c r="AM20" s="26"/>
      <c r="AO20" s="29">
        <f t="shared" ref="AO20:AO36" si="11">IF(A20="","",VLOOKUP(A20,원주인명부,17,0))</f>
        <v>0</v>
      </c>
      <c r="AP20" s="29">
        <f t="shared" ref="AP20:AP36" si="12">IF(A20="","",VLOOKUP(A20,원주인명부,16,0))</f>
        <v>0</v>
      </c>
    </row>
    <row r="21" spans="1:42" ht="16.5" customHeight="1" x14ac:dyDescent="0.3">
      <c r="A21" s="30" t="s">
        <v>30</v>
      </c>
      <c r="B21" s="31" t="s">
        <v>77</v>
      </c>
      <c r="C21" s="32" t="s">
        <v>78</v>
      </c>
      <c r="D21" s="33" t="s">
        <v>70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f t="shared" si="5"/>
        <v>0</v>
      </c>
      <c r="AK21" s="25">
        <f t="shared" si="10"/>
        <v>140000</v>
      </c>
      <c r="AL21" s="26">
        <f t="shared" si="7"/>
        <v>0</v>
      </c>
      <c r="AM21" s="26"/>
      <c r="AO21" s="29">
        <f t="shared" si="11"/>
        <v>0</v>
      </c>
      <c r="AP21" s="29">
        <f t="shared" si="12"/>
        <v>0</v>
      </c>
    </row>
    <row r="22" spans="1:42" ht="16.5" customHeight="1" x14ac:dyDescent="0.3">
      <c r="A22" s="30" t="s">
        <v>31</v>
      </c>
      <c r="B22" s="31" t="s">
        <v>79</v>
      </c>
      <c r="C22" s="32" t="s">
        <v>80</v>
      </c>
      <c r="D22" s="33">
        <v>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5"/>
        <v>0</v>
      </c>
      <c r="AK22" s="25">
        <f t="shared" si="10"/>
        <v>140000</v>
      </c>
      <c r="AL22" s="26">
        <f t="shared" si="7"/>
        <v>0</v>
      </c>
      <c r="AM22" s="26"/>
      <c r="AO22" s="29">
        <f t="shared" si="11"/>
        <v>0</v>
      </c>
      <c r="AP22" s="29">
        <f t="shared" si="12"/>
        <v>0</v>
      </c>
    </row>
    <row r="23" spans="1:42" ht="16.5" customHeight="1" x14ac:dyDescent="0.3">
      <c r="A23" s="30" t="s">
        <v>32</v>
      </c>
      <c r="B23" s="31" t="s">
        <v>81</v>
      </c>
      <c r="C23" s="32" t="s">
        <v>82</v>
      </c>
      <c r="D23" s="33" t="s">
        <v>83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5"/>
        <v>0</v>
      </c>
      <c r="AK23" s="25">
        <f t="shared" ref="AK23:AK27" si="13">IF(ISERROR(IF(A23="","",VLOOKUP(A23,원주인명부,5,0))),"",IF(A23="","",VLOOKUP(A23,원주인명부,5,0)))</f>
        <v>160000</v>
      </c>
      <c r="AL23" s="26">
        <f t="shared" si="7"/>
        <v>0</v>
      </c>
      <c r="AM23" s="26"/>
      <c r="AO23" s="29">
        <f t="shared" si="11"/>
        <v>0</v>
      </c>
      <c r="AP23" s="29">
        <f t="shared" si="12"/>
        <v>0</v>
      </c>
    </row>
    <row r="24" spans="1:42" ht="16.5" customHeight="1" x14ac:dyDescent="0.3">
      <c r="A24" s="30" t="s">
        <v>33</v>
      </c>
      <c r="B24" s="31" t="s">
        <v>84</v>
      </c>
      <c r="C24" s="32" t="s">
        <v>85</v>
      </c>
      <c r="D24" s="33">
        <v>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5"/>
        <v>0</v>
      </c>
      <c r="AK24" s="25">
        <f t="shared" si="13"/>
        <v>140000</v>
      </c>
      <c r="AL24" s="26">
        <f t="shared" si="7"/>
        <v>0</v>
      </c>
      <c r="AM24" s="26"/>
      <c r="AO24" s="29">
        <f t="shared" si="11"/>
        <v>0</v>
      </c>
      <c r="AP24" s="29">
        <f t="shared" si="12"/>
        <v>0</v>
      </c>
    </row>
    <row r="25" spans="1:42" ht="16.5" customHeight="1" x14ac:dyDescent="0.3">
      <c r="A25" s="30" t="s">
        <v>34</v>
      </c>
      <c r="B25" s="31" t="s">
        <v>86</v>
      </c>
      <c r="C25" s="32" t="s">
        <v>87</v>
      </c>
      <c r="D25" s="33">
        <v>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5"/>
        <v>0</v>
      </c>
      <c r="AK25" s="25">
        <f t="shared" si="13"/>
        <v>160000</v>
      </c>
      <c r="AL25" s="26">
        <f t="shared" si="7"/>
        <v>0</v>
      </c>
      <c r="AM25" s="26"/>
      <c r="AO25" s="29" t="str">
        <f t="shared" ref="AO25" si="14">IF(A25="","",VLOOKUP(A25,원주인명부,17,0))</f>
        <v/>
      </c>
      <c r="AP25" s="29">
        <f t="shared" ref="AP25" si="15">IF(A25="","",VLOOKUP(A25,원주인명부,16,0))</f>
        <v>0</v>
      </c>
    </row>
    <row r="26" spans="1:42" ht="16.5" customHeight="1" x14ac:dyDescent="0.3">
      <c r="A26" s="30" t="s">
        <v>35</v>
      </c>
      <c r="B26" s="31" t="s">
        <v>88</v>
      </c>
      <c r="C26" s="32" t="s">
        <v>89</v>
      </c>
      <c r="D26" s="33">
        <v>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5"/>
        <v>0</v>
      </c>
      <c r="AK26" s="25">
        <f t="shared" si="13"/>
        <v>160000</v>
      </c>
      <c r="AL26" s="26">
        <f t="shared" si="7"/>
        <v>0</v>
      </c>
      <c r="AM26" s="26"/>
    </row>
    <row r="27" spans="1:42" ht="16.5" customHeight="1" x14ac:dyDescent="0.3">
      <c r="A27" s="30" t="s">
        <v>36</v>
      </c>
      <c r="B27" s="31" t="s">
        <v>90</v>
      </c>
      <c r="C27" s="32" t="s">
        <v>91</v>
      </c>
      <c r="D27" s="33">
        <v>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5"/>
        <v>0</v>
      </c>
      <c r="AK27" s="25">
        <f t="shared" si="13"/>
        <v>140000</v>
      </c>
      <c r="AL27" s="26">
        <f t="shared" si="7"/>
        <v>0</v>
      </c>
      <c r="AM27" s="26"/>
      <c r="AO27" s="29">
        <f t="shared" ref="AO27" si="16">IF(A27="","",VLOOKUP(A27,원주인명부,17,0))</f>
        <v>0</v>
      </c>
      <c r="AP27" s="29">
        <f t="shared" ref="AP27" si="17">IF(A27="","",VLOOKUP(A27,원주인명부,16,0))</f>
        <v>0</v>
      </c>
    </row>
    <row r="28" spans="1:42" ht="16.5" customHeight="1" x14ac:dyDescent="0.3">
      <c r="A28" s="30" t="s">
        <v>37</v>
      </c>
      <c r="B28" s="31" t="s">
        <v>92</v>
      </c>
      <c r="C28" s="32" t="s">
        <v>93</v>
      </c>
      <c r="D28" s="33" t="s">
        <v>94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>
        <f>SUM(E28:AI28)</f>
        <v>0</v>
      </c>
      <c r="AK28" s="25">
        <f>IF(ISERROR(IF(A28="","",VLOOKUP(A28,원주인명부,5,0))),"",IF(A28="","",VLOOKUP(A28,원주인명부,5,0)))</f>
        <v>160000</v>
      </c>
      <c r="AL28" s="26">
        <f>IF(ISERROR(AJ28*AK28),"",AJ28*AK28)</f>
        <v>0</v>
      </c>
      <c r="AM28" s="26"/>
      <c r="AO28" s="29"/>
      <c r="AP28" s="29"/>
    </row>
    <row r="29" spans="1:42" ht="16.5" customHeight="1" x14ac:dyDescent="0.3">
      <c r="A29" s="30" t="s">
        <v>38</v>
      </c>
      <c r="B29" s="31" t="s">
        <v>95</v>
      </c>
      <c r="C29" s="32" t="s">
        <v>96</v>
      </c>
      <c r="D29" s="33" t="s">
        <v>94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>
        <f t="shared" ref="AJ29:AJ31" si="18">SUM(E29:AI29)</f>
        <v>0</v>
      </c>
      <c r="AK29" s="25">
        <f t="shared" ref="AK29:AK31" si="19">IF(ISERROR(IF(A29="","",VLOOKUP(A29,원주인명부,5,0))),"",IF(A29="","",VLOOKUP(A29,원주인명부,5,0)))</f>
        <v>160000</v>
      </c>
      <c r="AL29" s="26">
        <f t="shared" ref="AL29:AL31" si="20">IF(ISERROR(AJ29*AK29),"",AJ29*AK29)</f>
        <v>0</v>
      </c>
      <c r="AM29" s="26"/>
      <c r="AO29" s="29" t="str">
        <f t="shared" ref="AO29" si="21">IF(A29="","",VLOOKUP(A29,원주인명부,17,0))</f>
        <v/>
      </c>
      <c r="AP29" s="29">
        <f t="shared" ref="AP29" si="22">IF(A29="","",VLOOKUP(A29,원주인명부,16,0))</f>
        <v>0</v>
      </c>
    </row>
    <row r="30" spans="1:42" ht="16.5" customHeight="1" x14ac:dyDescent="0.3">
      <c r="A30" s="30" t="s">
        <v>39</v>
      </c>
      <c r="B30" s="31" t="s">
        <v>97</v>
      </c>
      <c r="C30" s="32" t="s">
        <v>98</v>
      </c>
      <c r="D30" s="33">
        <v>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>
        <f t="shared" si="18"/>
        <v>0</v>
      </c>
      <c r="AK30" s="25">
        <f t="shared" si="19"/>
        <v>140000</v>
      </c>
      <c r="AL30" s="26">
        <f t="shared" si="20"/>
        <v>0</v>
      </c>
      <c r="AM30" s="26"/>
    </row>
    <row r="31" spans="1:42" ht="16.5" customHeight="1" x14ac:dyDescent="0.3">
      <c r="A31" s="30" t="s">
        <v>40</v>
      </c>
      <c r="B31" s="31" t="s">
        <v>99</v>
      </c>
      <c r="C31" s="32" t="s">
        <v>100</v>
      </c>
      <c r="D31" s="33" t="s">
        <v>101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>
        <f t="shared" si="18"/>
        <v>0</v>
      </c>
      <c r="AK31" s="25">
        <f t="shared" si="19"/>
        <v>160000</v>
      </c>
      <c r="AL31" s="26">
        <f t="shared" si="20"/>
        <v>0</v>
      </c>
      <c r="AM31" s="26"/>
      <c r="AO31" s="29" t="str">
        <f t="shared" ref="AO31" si="23">IF(A31="","",VLOOKUP(A31,원주인명부,17,0))</f>
        <v/>
      </c>
      <c r="AP31" s="29">
        <f t="shared" ref="AP31" si="24">IF(A31="","",VLOOKUP(A31,원주인명부,16,0))</f>
        <v>0</v>
      </c>
    </row>
    <row r="32" spans="1:42" ht="16.5" customHeight="1" x14ac:dyDescent="0.3">
      <c r="A32" s="30" t="s">
        <v>41</v>
      </c>
      <c r="B32" s="31" t="s">
        <v>102</v>
      </c>
      <c r="C32" s="32" t="s">
        <v>103</v>
      </c>
      <c r="D32" s="33" t="s">
        <v>94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>
        <f>SUM(E32:AI32)</f>
        <v>0</v>
      </c>
      <c r="AK32" s="25">
        <f>IF(ISERROR(IF(A32="","",VLOOKUP(A32,원주인명부,5,0))),"",IF(A32="","",VLOOKUP(A32,원주인명부,5,0)))</f>
        <v>160000</v>
      </c>
      <c r="AL32" s="26">
        <f>IF(ISERROR(AJ32*AK32),"",AJ32*AK32)</f>
        <v>0</v>
      </c>
      <c r="AM32" s="26"/>
      <c r="AO32" s="29">
        <f>IF(A32="","",VLOOKUP(A32,원주인명부,17,0))</f>
        <v>0</v>
      </c>
      <c r="AP32" s="29">
        <f>IF(A32="","",VLOOKUP(A32,원주인명부,16,0))</f>
        <v>0</v>
      </c>
    </row>
    <row r="33" spans="1:51" ht="16.5" customHeight="1" x14ac:dyDescent="0.3">
      <c r="A33" s="30" t="s">
        <v>42</v>
      </c>
      <c r="B33" s="31" t="s">
        <v>104</v>
      </c>
      <c r="C33" s="32" t="s">
        <v>105</v>
      </c>
      <c r="D33" s="33" t="s">
        <v>70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>
        <f t="shared" ref="AJ33:AJ34" si="25">SUM(E33:AI33)</f>
        <v>0</v>
      </c>
      <c r="AK33" s="25">
        <f t="shared" ref="AK33:AK34" si="26">IF(ISERROR(IF(A33="","",VLOOKUP(A33,원주인명부,5,0))),"",IF(A33="","",VLOOKUP(A33,원주인명부,5,0)))</f>
        <v>160000</v>
      </c>
      <c r="AL33" s="26">
        <f t="shared" ref="AL33:AL34" si="27">IF(ISERROR(AJ33*AK33),"",AJ33*AK33)</f>
        <v>0</v>
      </c>
      <c r="AM33" s="26"/>
      <c r="AO33" s="29" t="str">
        <f t="shared" ref="AO33:AO34" si="28">IF(A33="","",VLOOKUP(A33,원주인명부,17,0))</f>
        <v/>
      </c>
      <c r="AP33" s="29">
        <f t="shared" ref="AP33:AP34" si="29">IF(A33="","",VLOOKUP(A33,원주인명부,16,0))</f>
        <v>0</v>
      </c>
    </row>
    <row r="34" spans="1:51" ht="16.5" customHeight="1" x14ac:dyDescent="0.3">
      <c r="A34" s="30" t="s">
        <v>43</v>
      </c>
      <c r="B34" s="31" t="s">
        <v>106</v>
      </c>
      <c r="C34" s="32" t="s">
        <v>107</v>
      </c>
      <c r="D34" s="33" t="s">
        <v>108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>
        <f t="shared" si="25"/>
        <v>0</v>
      </c>
      <c r="AK34" s="25">
        <f t="shared" si="26"/>
        <v>140000</v>
      </c>
      <c r="AL34" s="26">
        <f t="shared" si="27"/>
        <v>0</v>
      </c>
      <c r="AM34" s="26"/>
      <c r="AO34" s="29">
        <f t="shared" si="28"/>
        <v>0</v>
      </c>
      <c r="AP34" s="29">
        <f t="shared" si="29"/>
        <v>0</v>
      </c>
    </row>
    <row r="35" spans="1:51" ht="16.5" customHeight="1" x14ac:dyDescent="0.3">
      <c r="A35" s="34" t="s">
        <v>44</v>
      </c>
      <c r="B35" s="31" t="s">
        <v>109</v>
      </c>
      <c r="C35" s="32" t="s">
        <v>110</v>
      </c>
      <c r="D35" s="33">
        <v>0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4">
        <f>SUM(E35:AI35)</f>
        <v>0</v>
      </c>
      <c r="AK35" s="25">
        <f>IF(ISERROR(IF(A35="","",VLOOKUP(A35,원주인명부,5,0))),"",IF(A35="","",VLOOKUP(A35,원주인명부,5,0)))</f>
        <v>140000</v>
      </c>
      <c r="AL35" s="26">
        <f>IF(ISERROR(AJ35*AK35),"",AJ35*AK35)</f>
        <v>0</v>
      </c>
      <c r="AM35" s="35"/>
      <c r="AN35"/>
      <c r="AO35" s="36">
        <f>VLOOKUP(A35,원주인명부,20,0)</f>
        <v>46234</v>
      </c>
      <c r="AP35" s="36"/>
      <c r="AQ35"/>
      <c r="AR35"/>
      <c r="AS35"/>
      <c r="AT35"/>
      <c r="AU35"/>
      <c r="AV35"/>
      <c r="AW35"/>
      <c r="AX35"/>
      <c r="AY35"/>
    </row>
    <row r="36" spans="1:51" ht="16.5" customHeight="1" x14ac:dyDescent="0.3">
      <c r="A36" s="30" t="s">
        <v>45</v>
      </c>
      <c r="B36" s="31" t="s">
        <v>111</v>
      </c>
      <c r="C36" s="32" t="s">
        <v>112</v>
      </c>
      <c r="D36" s="33">
        <v>0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4">
        <f t="shared" si="5"/>
        <v>0</v>
      </c>
      <c r="AK36" s="25">
        <f t="shared" si="10"/>
        <v>140000</v>
      </c>
      <c r="AL36" s="26">
        <f t="shared" si="7"/>
        <v>0</v>
      </c>
      <c r="AM36" s="26"/>
      <c r="AO36" s="29" t="str">
        <f t="shared" si="11"/>
        <v/>
      </c>
      <c r="AP36" s="29">
        <f t="shared" si="12"/>
        <v>0</v>
      </c>
    </row>
    <row r="37" spans="1:51" ht="16.5" customHeight="1" x14ac:dyDescent="0.3">
      <c r="A37" s="30" t="s">
        <v>46</v>
      </c>
      <c r="B37" s="31" t="s">
        <v>113</v>
      </c>
      <c r="C37" s="32" t="s">
        <v>114</v>
      </c>
      <c r="D37" s="33" t="s">
        <v>70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4">
        <f t="shared" si="5"/>
        <v>0</v>
      </c>
      <c r="AK37" s="25">
        <f t="shared" ref="AK37" si="30">IF(ISERROR(IF(A37="","",VLOOKUP(A37,원주인명부,5,0))),"",IF(A37="","",VLOOKUP(A37,원주인명부,5,0)))</f>
        <v>140000</v>
      </c>
      <c r="AL37" s="26">
        <f t="shared" si="7"/>
        <v>0</v>
      </c>
      <c r="AM37" s="26"/>
    </row>
    <row r="38" spans="1:51" ht="16.5" customHeight="1" x14ac:dyDescent="0.3">
      <c r="A38" s="30" t="s">
        <v>47</v>
      </c>
      <c r="B38" s="31" t="s">
        <v>115</v>
      </c>
      <c r="C38" s="32" t="s">
        <v>116</v>
      </c>
      <c r="D38" s="33" t="s">
        <v>70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4">
        <f>SUM(E38:AI38)</f>
        <v>0</v>
      </c>
      <c r="AK38" s="25">
        <f>IF(ISERROR(IF(A38="","",VLOOKUP(A38,원주인명부,5,0))),"",IF(A38="","",VLOOKUP(A38,원주인명부,5,0)))</f>
        <v>160000</v>
      </c>
      <c r="AL38" s="26">
        <f>IF(ISERROR(AJ38*AK38),"",AJ38*AK38)</f>
        <v>0</v>
      </c>
      <c r="AM38" s="26"/>
      <c r="AO38" s="29" t="str">
        <f>IF(A38="","",VLOOKUP(A38,원주인명부,17,0))</f>
        <v/>
      </c>
      <c r="AP38" s="29">
        <f>IF(A38="","",VLOOKUP(A38,원주인명부,16,0))</f>
        <v>0</v>
      </c>
    </row>
    <row r="39" spans="1:51" ht="16.5" customHeight="1" x14ac:dyDescent="0.3">
      <c r="A39" s="30" t="s">
        <v>48</v>
      </c>
      <c r="B39" s="31" t="s">
        <v>117</v>
      </c>
      <c r="C39" s="32" t="s">
        <v>118</v>
      </c>
      <c r="D39" s="33">
        <v>0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4">
        <f t="shared" ref="AJ39:AJ40" si="31">SUM(E39:AI39)</f>
        <v>0</v>
      </c>
      <c r="AK39" s="25">
        <f t="shared" ref="AK39:AK40" si="32">IF(ISERROR(IF(A39="","",VLOOKUP(A39,원주인명부,5,0))),"",IF(A39="","",VLOOKUP(A39,원주인명부,5,0)))</f>
        <v>140000</v>
      </c>
      <c r="AL39" s="26">
        <f t="shared" ref="AL39:AL40" si="33">IF(ISERROR(AJ39*AK39),"",AJ39*AK39)</f>
        <v>0</v>
      </c>
      <c r="AM39" s="26"/>
      <c r="AO39" s="29"/>
      <c r="AP39" s="29"/>
    </row>
    <row r="40" spans="1:51" ht="16.5" customHeight="1" x14ac:dyDescent="0.3">
      <c r="A40" s="30" t="s">
        <v>49</v>
      </c>
      <c r="B40" s="31" t="s">
        <v>119</v>
      </c>
      <c r="C40" s="32" t="s">
        <v>120</v>
      </c>
      <c r="D40" s="33">
        <v>0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>
        <f t="shared" si="31"/>
        <v>0</v>
      </c>
      <c r="AK40" s="25">
        <f t="shared" si="32"/>
        <v>140000</v>
      </c>
      <c r="AL40" s="26">
        <f t="shared" si="33"/>
        <v>0</v>
      </c>
      <c r="AM40" s="26"/>
      <c r="AO40" s="29"/>
      <c r="AP40" s="29"/>
    </row>
    <row r="41" spans="1:51" ht="16.5" customHeight="1" x14ac:dyDescent="0.3">
      <c r="A41" s="30" t="s">
        <v>50</v>
      </c>
      <c r="B41" s="31" t="s">
        <v>121</v>
      </c>
      <c r="C41" s="32" t="s">
        <v>122</v>
      </c>
      <c r="D41" s="33" t="s">
        <v>70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4">
        <f t="shared" si="5"/>
        <v>0</v>
      </c>
      <c r="AK41" s="25">
        <f t="shared" si="6"/>
        <v>160000</v>
      </c>
      <c r="AL41" s="26">
        <f t="shared" si="7"/>
        <v>0</v>
      </c>
      <c r="AM41" s="26"/>
      <c r="AO41" s="29"/>
      <c r="AP41" s="29"/>
    </row>
    <row r="42" spans="1:51" ht="16.5" customHeight="1" x14ac:dyDescent="0.3">
      <c r="A42" s="30" t="s">
        <v>51</v>
      </c>
      <c r="B42" s="31" t="s">
        <v>123</v>
      </c>
      <c r="C42" s="32" t="s">
        <v>124</v>
      </c>
      <c r="D42" s="33" t="s">
        <v>125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4">
        <f t="shared" si="5"/>
        <v>0</v>
      </c>
      <c r="AK42" s="25">
        <f t="shared" si="6"/>
        <v>140000</v>
      </c>
      <c r="AL42" s="26">
        <f t="shared" si="7"/>
        <v>0</v>
      </c>
      <c r="AM42" s="26"/>
    </row>
    <row r="43" spans="1:51" ht="16.5" customHeight="1" x14ac:dyDescent="0.3">
      <c r="A43" s="30" t="s">
        <v>52</v>
      </c>
      <c r="B43" s="31" t="s">
        <v>126</v>
      </c>
      <c r="C43" s="32" t="s">
        <v>127</v>
      </c>
      <c r="D43" s="33" t="s">
        <v>70</v>
      </c>
      <c r="E43" s="23" t="s">
        <v>19</v>
      </c>
      <c r="F43" s="23" t="s">
        <v>19</v>
      </c>
      <c r="G43" s="23"/>
      <c r="H43" s="23"/>
      <c r="I43" s="23"/>
      <c r="J43" s="23"/>
      <c r="K43" s="23"/>
      <c r="L43" s="23" t="s">
        <v>19</v>
      </c>
      <c r="M43" s="23" t="s">
        <v>19</v>
      </c>
      <c r="N43" s="23"/>
      <c r="O43" s="23" t="s">
        <v>19</v>
      </c>
      <c r="P43" s="23"/>
      <c r="Q43" s="23"/>
      <c r="R43" s="23" t="s">
        <v>19</v>
      </c>
      <c r="S43" s="23"/>
      <c r="T43" s="23"/>
      <c r="U43" s="23" t="s">
        <v>19</v>
      </c>
      <c r="V43" s="23" t="s">
        <v>19</v>
      </c>
      <c r="W43" s="23"/>
      <c r="X43" s="23" t="s">
        <v>19</v>
      </c>
      <c r="Y43" s="23"/>
      <c r="Z43" s="23"/>
      <c r="AA43" s="23" t="s">
        <v>19</v>
      </c>
      <c r="AB43" s="23"/>
      <c r="AC43" s="23" t="s">
        <v>19</v>
      </c>
      <c r="AD43" s="23"/>
      <c r="AE43" s="23" t="s">
        <v>19</v>
      </c>
      <c r="AF43" s="23" t="s">
        <v>19</v>
      </c>
      <c r="AG43" s="23" t="s">
        <v>19</v>
      </c>
      <c r="AH43" s="23" t="s">
        <v>19</v>
      </c>
      <c r="AI43" s="23" t="s">
        <v>19</v>
      </c>
      <c r="AJ43" s="24">
        <f t="shared" si="5"/>
        <v>0</v>
      </c>
      <c r="AK43" s="25">
        <f t="shared" si="6"/>
        <v>140000</v>
      </c>
      <c r="AL43" s="26">
        <f t="shared" si="7"/>
        <v>0</v>
      </c>
      <c r="AM43" s="26"/>
    </row>
    <row r="44" spans="1:51" ht="16.5" customHeight="1" x14ac:dyDescent="0.3">
      <c r="A44" s="30" t="s">
        <v>53</v>
      </c>
      <c r="B44" s="31" t="s">
        <v>128</v>
      </c>
      <c r="C44" s="32" t="s">
        <v>129</v>
      </c>
      <c r="D44" s="33" t="s">
        <v>70</v>
      </c>
      <c r="E44" s="23"/>
      <c r="F44" s="23" t="s">
        <v>19</v>
      </c>
      <c r="G44" s="23"/>
      <c r="H44" s="23"/>
      <c r="I44" s="23"/>
      <c r="J44" s="23"/>
      <c r="K44" s="23"/>
      <c r="L44" s="23"/>
      <c r="M44" s="23" t="s">
        <v>19</v>
      </c>
      <c r="N44" s="23"/>
      <c r="O44" s="23" t="s">
        <v>19</v>
      </c>
      <c r="P44" s="23"/>
      <c r="Q44" s="23"/>
      <c r="R44" s="23" t="s">
        <v>19</v>
      </c>
      <c r="S44" s="23"/>
      <c r="T44" s="23"/>
      <c r="U44" s="23" t="s">
        <v>19</v>
      </c>
      <c r="V44" s="23" t="s">
        <v>19</v>
      </c>
      <c r="W44" s="23"/>
      <c r="X44" s="23" t="s">
        <v>19</v>
      </c>
      <c r="Y44" s="23"/>
      <c r="Z44" s="23"/>
      <c r="AA44" s="23" t="s">
        <v>19</v>
      </c>
      <c r="AB44" s="23"/>
      <c r="AC44" s="23" t="s">
        <v>19</v>
      </c>
      <c r="AD44" s="23"/>
      <c r="AE44" s="23" t="s">
        <v>19</v>
      </c>
      <c r="AF44" s="23" t="s">
        <v>19</v>
      </c>
      <c r="AG44" s="23" t="s">
        <v>19</v>
      </c>
      <c r="AH44" s="23" t="s">
        <v>19</v>
      </c>
      <c r="AI44" s="23"/>
      <c r="AJ44" s="24">
        <f t="shared" si="5"/>
        <v>0</v>
      </c>
      <c r="AK44" s="25">
        <f t="shared" si="6"/>
        <v>140000</v>
      </c>
      <c r="AL44" s="26">
        <f t="shared" si="7"/>
        <v>0</v>
      </c>
      <c r="AM44" s="26"/>
      <c r="AO44" s="29"/>
      <c r="AP44" s="29"/>
    </row>
    <row r="45" spans="1:51" ht="16.5" customHeight="1" x14ac:dyDescent="0.3">
      <c r="A45" s="30" t="s">
        <v>54</v>
      </c>
      <c r="B45" s="31" t="s">
        <v>130</v>
      </c>
      <c r="C45" s="32" t="s">
        <v>131</v>
      </c>
      <c r="D45" s="33" t="s">
        <v>70</v>
      </c>
      <c r="E45" s="23"/>
      <c r="F45" s="23"/>
      <c r="G45" s="23"/>
      <c r="H45" s="23"/>
      <c r="I45" s="23"/>
      <c r="J45" s="23"/>
      <c r="K45" s="23"/>
      <c r="L45" s="23"/>
      <c r="M45" s="23" t="s">
        <v>19</v>
      </c>
      <c r="N45" s="23"/>
      <c r="O45" s="23" t="s">
        <v>19</v>
      </c>
      <c r="P45" s="23"/>
      <c r="Q45" s="23"/>
      <c r="R45" s="23" t="s">
        <v>19</v>
      </c>
      <c r="S45" s="23"/>
      <c r="T45" s="23"/>
      <c r="U45" s="23" t="s">
        <v>19</v>
      </c>
      <c r="V45" s="23" t="s">
        <v>19</v>
      </c>
      <c r="W45" s="23"/>
      <c r="X45" s="23" t="s">
        <v>19</v>
      </c>
      <c r="Y45" s="23"/>
      <c r="Z45" s="23"/>
      <c r="AA45" s="23" t="s">
        <v>19</v>
      </c>
      <c r="AB45" s="23"/>
      <c r="AC45" s="23" t="s">
        <v>19</v>
      </c>
      <c r="AD45" s="23"/>
      <c r="AE45" s="23"/>
      <c r="AF45" s="23" t="s">
        <v>19</v>
      </c>
      <c r="AG45" s="23" t="s">
        <v>19</v>
      </c>
      <c r="AH45" s="23" t="s">
        <v>19</v>
      </c>
      <c r="AI45" s="23"/>
      <c r="AJ45" s="24">
        <f t="shared" si="5"/>
        <v>0</v>
      </c>
      <c r="AK45" s="25">
        <f t="shared" si="6"/>
        <v>160000</v>
      </c>
      <c r="AL45" s="26">
        <f t="shared" si="7"/>
        <v>0</v>
      </c>
      <c r="AM45" s="26"/>
      <c r="AO45" s="29"/>
      <c r="AP45" s="29"/>
    </row>
    <row r="46" spans="1:51" ht="16.5" customHeight="1" x14ac:dyDescent="0.3">
      <c r="A46" s="30" t="s">
        <v>55</v>
      </c>
      <c r="B46" s="31" t="s">
        <v>132</v>
      </c>
      <c r="C46" s="32" t="s">
        <v>133</v>
      </c>
      <c r="D46" s="33" t="s">
        <v>70</v>
      </c>
      <c r="E46" s="23"/>
      <c r="F46" s="23"/>
      <c r="G46" s="23"/>
      <c r="H46" s="23"/>
      <c r="I46" s="23"/>
      <c r="J46" s="23"/>
      <c r="K46" s="23"/>
      <c r="L46" s="23"/>
      <c r="M46" s="23" t="s">
        <v>19</v>
      </c>
      <c r="N46" s="23"/>
      <c r="O46" s="23" t="s">
        <v>19</v>
      </c>
      <c r="P46" s="23"/>
      <c r="Q46" s="23"/>
      <c r="R46" s="23"/>
      <c r="S46" s="23"/>
      <c r="T46" s="23"/>
      <c r="U46" s="23"/>
      <c r="V46" s="23" t="s">
        <v>19</v>
      </c>
      <c r="W46" s="23"/>
      <c r="X46" s="23" t="s">
        <v>19</v>
      </c>
      <c r="Y46" s="23"/>
      <c r="Z46" s="23"/>
      <c r="AA46" s="23" t="s">
        <v>19</v>
      </c>
      <c r="AB46" s="23"/>
      <c r="AC46" s="23"/>
      <c r="AD46" s="23"/>
      <c r="AE46" s="23"/>
      <c r="AF46" s="23" t="s">
        <v>19</v>
      </c>
      <c r="AG46" s="23" t="s">
        <v>19</v>
      </c>
      <c r="AH46" s="23" t="s">
        <v>19</v>
      </c>
      <c r="AI46" s="23"/>
      <c r="AJ46" s="24">
        <f t="shared" si="5"/>
        <v>0</v>
      </c>
      <c r="AK46" s="25">
        <f t="shared" ref="AK46:AK47" si="34">IF(ISERROR(IF(A46="","",VLOOKUP(A46,원주인명부,5,0))),"",IF(A46="","",VLOOKUP(A46,원주인명부,5,0)))</f>
        <v>160000</v>
      </c>
      <c r="AL46" s="26">
        <f t="shared" si="7"/>
        <v>0</v>
      </c>
      <c r="AM46" s="26"/>
      <c r="AO46" s="29"/>
      <c r="AP46" s="29"/>
    </row>
    <row r="47" spans="1:51" ht="16.5" customHeight="1" x14ac:dyDescent="0.3">
      <c r="A47" s="30" t="s">
        <v>56</v>
      </c>
      <c r="B47" s="31" t="s">
        <v>134</v>
      </c>
      <c r="C47" s="32" t="s">
        <v>135</v>
      </c>
      <c r="D47" s="33" t="s">
        <v>70</v>
      </c>
      <c r="E47" s="23"/>
      <c r="F47" s="23"/>
      <c r="G47" s="23" t="s">
        <v>19</v>
      </c>
      <c r="H47" s="23"/>
      <c r="I47" s="23"/>
      <c r="J47" s="23"/>
      <c r="K47" s="23"/>
      <c r="L47" s="23"/>
      <c r="M47" s="23"/>
      <c r="N47" s="23" t="s">
        <v>19</v>
      </c>
      <c r="O47" s="23" t="s">
        <v>19</v>
      </c>
      <c r="P47" s="23"/>
      <c r="Q47" s="23"/>
      <c r="R47" s="23"/>
      <c r="S47" s="23"/>
      <c r="T47" s="23"/>
      <c r="U47" s="23" t="s">
        <v>19</v>
      </c>
      <c r="V47" s="23"/>
      <c r="W47" s="23"/>
      <c r="X47" s="23" t="s">
        <v>19</v>
      </c>
      <c r="Y47" s="23"/>
      <c r="Z47" s="23"/>
      <c r="AA47" s="23" t="s">
        <v>19</v>
      </c>
      <c r="AB47" s="23"/>
      <c r="AC47" s="23" t="s">
        <v>19</v>
      </c>
      <c r="AD47" s="23"/>
      <c r="AE47" s="23"/>
      <c r="AF47" s="23"/>
      <c r="AG47" s="23"/>
      <c r="AH47" s="23"/>
      <c r="AI47" s="23"/>
      <c r="AJ47" s="24">
        <f t="shared" si="5"/>
        <v>0</v>
      </c>
      <c r="AK47" s="25">
        <f t="shared" si="34"/>
        <v>140000</v>
      </c>
      <c r="AL47" s="26">
        <f t="shared" si="7"/>
        <v>0</v>
      </c>
      <c r="AM47" s="26"/>
      <c r="AO47" s="29"/>
      <c r="AP47" s="29"/>
    </row>
    <row r="48" spans="1:51" ht="16.5" customHeight="1" x14ac:dyDescent="0.3">
      <c r="A48" s="27"/>
      <c r="B48" s="20" t="str">
        <f t="shared" si="0"/>
        <v/>
      </c>
      <c r="C48" s="21" t="str">
        <f t="shared" si="1"/>
        <v/>
      </c>
      <c r="D48" s="22" t="str">
        <f t="shared" si="2"/>
        <v/>
      </c>
      <c r="E48" s="23"/>
      <c r="F48" s="23"/>
      <c r="G48" s="23" t="s">
        <v>19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 t="str">
        <f t="shared" ref="X48" si="35">IF(ISERROR(IF($A48="","",VLOOKUP($A48,출력,2,FALSE))),"",IF($A48="","",VLOOKUP($A48,출력,2,FALSE)))</f>
        <v/>
      </c>
      <c r="Y48" s="23"/>
      <c r="Z48" s="23"/>
      <c r="AA48" s="23" t="s">
        <v>19</v>
      </c>
      <c r="AB48" s="23"/>
      <c r="AC48" s="23"/>
      <c r="AD48" s="23"/>
      <c r="AE48" s="23"/>
      <c r="AF48" s="23"/>
      <c r="AG48" s="23"/>
      <c r="AH48" s="23"/>
      <c r="AI48" s="23"/>
      <c r="AJ48" s="24">
        <f t="shared" si="5"/>
        <v>0</v>
      </c>
      <c r="AK48" s="25" t="str">
        <f t="shared" si="6"/>
        <v/>
      </c>
      <c r="AL48" s="26" t="str">
        <f t="shared" si="7"/>
        <v/>
      </c>
      <c r="AM48" s="26"/>
      <c r="AO48" s="29" t="str">
        <f>IF(A48="","",VLOOKUP(A48,원주인명부,17,0))</f>
        <v/>
      </c>
      <c r="AP48" s="29" t="str">
        <f>IF(A48="","",VLOOKUP(A48,원주인명부,16,0))</f>
        <v/>
      </c>
    </row>
    <row r="49" spans="1:39" ht="16.5" customHeight="1" x14ac:dyDescent="0.3">
      <c r="A49" s="27"/>
      <c r="B49" s="20" t="str">
        <f t="shared" si="0"/>
        <v/>
      </c>
      <c r="C49" s="21" t="str">
        <f t="shared" si="1"/>
        <v/>
      </c>
      <c r="D49" s="22" t="str">
        <f t="shared" si="2"/>
        <v/>
      </c>
      <c r="E49" s="37"/>
      <c r="F49" s="23"/>
      <c r="G49" s="37"/>
      <c r="H49" s="37"/>
      <c r="I49" s="23"/>
      <c r="J49" s="37"/>
      <c r="K49" s="23"/>
      <c r="L49" s="23"/>
      <c r="M49" s="23"/>
      <c r="N49" s="37"/>
      <c r="O49" s="37"/>
      <c r="P49" s="37"/>
      <c r="Q49" s="23"/>
      <c r="R49" s="23"/>
      <c r="S49" s="37"/>
      <c r="T49" s="37"/>
      <c r="U49" s="23"/>
      <c r="V49" s="37"/>
      <c r="W49" s="23"/>
      <c r="X49" s="23"/>
      <c r="Y49" s="23"/>
      <c r="Z49" s="37"/>
      <c r="AA49" s="37"/>
      <c r="AB49" s="23"/>
      <c r="AC49" s="37"/>
      <c r="AD49" s="37"/>
      <c r="AE49" s="23"/>
      <c r="AF49" s="23"/>
      <c r="AG49" s="37"/>
      <c r="AH49" s="23"/>
      <c r="AI49" s="23"/>
      <c r="AJ49" s="24">
        <f t="shared" si="5"/>
        <v>0</v>
      </c>
      <c r="AK49" s="25" t="str">
        <f t="shared" si="6"/>
        <v/>
      </c>
      <c r="AL49" s="26" t="str">
        <f t="shared" si="7"/>
        <v/>
      </c>
      <c r="AM49" s="26"/>
    </row>
    <row r="50" spans="1:39" ht="16.5" customHeight="1" x14ac:dyDescent="0.3">
      <c r="A50" s="50" t="s">
        <v>57</v>
      </c>
      <c r="B50" s="51"/>
      <c r="C50" s="51"/>
      <c r="D50" s="52"/>
      <c r="E50" s="38">
        <f t="shared" ref="E50:AJ50" si="36">SUM(E7:E49)</f>
        <v>0</v>
      </c>
      <c r="F50" s="38">
        <f t="shared" si="36"/>
        <v>0</v>
      </c>
      <c r="G50" s="38">
        <f t="shared" si="36"/>
        <v>0</v>
      </c>
      <c r="H50" s="38">
        <f t="shared" si="36"/>
        <v>0</v>
      </c>
      <c r="I50" s="38">
        <f t="shared" si="36"/>
        <v>0</v>
      </c>
      <c r="J50" s="38">
        <f t="shared" si="36"/>
        <v>0</v>
      </c>
      <c r="K50" s="38">
        <f t="shared" si="36"/>
        <v>0</v>
      </c>
      <c r="L50" s="38">
        <f t="shared" si="36"/>
        <v>0</v>
      </c>
      <c r="M50" s="38">
        <f t="shared" si="36"/>
        <v>0</v>
      </c>
      <c r="N50" s="38">
        <f t="shared" si="36"/>
        <v>0</v>
      </c>
      <c r="O50" s="38">
        <f t="shared" si="36"/>
        <v>0</v>
      </c>
      <c r="P50" s="38">
        <f t="shared" si="36"/>
        <v>0</v>
      </c>
      <c r="Q50" s="38">
        <f t="shared" si="36"/>
        <v>0</v>
      </c>
      <c r="R50" s="38">
        <f t="shared" si="36"/>
        <v>0</v>
      </c>
      <c r="S50" s="38">
        <f t="shared" si="36"/>
        <v>0</v>
      </c>
      <c r="T50" s="38">
        <f t="shared" si="36"/>
        <v>0</v>
      </c>
      <c r="U50" s="38">
        <f t="shared" si="36"/>
        <v>0</v>
      </c>
      <c r="V50" s="38">
        <f t="shared" si="36"/>
        <v>0</v>
      </c>
      <c r="W50" s="38">
        <f t="shared" si="36"/>
        <v>0</v>
      </c>
      <c r="X50" s="38">
        <f t="shared" si="36"/>
        <v>0</v>
      </c>
      <c r="Y50" s="38">
        <f t="shared" si="36"/>
        <v>0</v>
      </c>
      <c r="Z50" s="38">
        <f t="shared" si="36"/>
        <v>0</v>
      </c>
      <c r="AA50" s="38">
        <f t="shared" si="36"/>
        <v>0</v>
      </c>
      <c r="AB50" s="38">
        <f t="shared" si="36"/>
        <v>0</v>
      </c>
      <c r="AC50" s="38">
        <f t="shared" si="36"/>
        <v>0</v>
      </c>
      <c r="AD50" s="38">
        <f t="shared" si="36"/>
        <v>0</v>
      </c>
      <c r="AE50" s="38">
        <f t="shared" si="36"/>
        <v>0</v>
      </c>
      <c r="AF50" s="38">
        <f t="shared" si="36"/>
        <v>0</v>
      </c>
      <c r="AG50" s="38">
        <f t="shared" si="36"/>
        <v>0</v>
      </c>
      <c r="AH50" s="38">
        <f t="shared" si="36"/>
        <v>0</v>
      </c>
      <c r="AI50" s="38">
        <f t="shared" si="36"/>
        <v>0</v>
      </c>
      <c r="AJ50" s="39">
        <f t="shared" si="36"/>
        <v>0</v>
      </c>
      <c r="AK50" s="40"/>
      <c r="AL50" s="41">
        <f>SUM(AL7:AL49)</f>
        <v>0</v>
      </c>
      <c r="AM50" s="41"/>
    </row>
    <row r="51" spans="1:39" ht="16.5" customHeight="1" x14ac:dyDescent="0.3"/>
    <row r="52" spans="1:39" ht="16.5" customHeight="1" x14ac:dyDescent="0.3">
      <c r="D52" s="42" t="s">
        <v>58</v>
      </c>
      <c r="E52" s="43">
        <f t="shared" ref="E52:AF52" si="37">SUM(E9:E16)</f>
        <v>0</v>
      </c>
      <c r="F52" s="43">
        <f t="shared" si="37"/>
        <v>0</v>
      </c>
      <c r="G52" s="43">
        <f t="shared" si="37"/>
        <v>0</v>
      </c>
      <c r="H52" s="43">
        <f t="shared" si="37"/>
        <v>0</v>
      </c>
      <c r="I52" s="43">
        <f t="shared" si="37"/>
        <v>0</v>
      </c>
      <c r="J52" s="43">
        <f t="shared" si="37"/>
        <v>0</v>
      </c>
      <c r="K52" s="43">
        <f t="shared" si="37"/>
        <v>0</v>
      </c>
      <c r="L52" s="43">
        <f t="shared" si="37"/>
        <v>0</v>
      </c>
      <c r="M52" s="43">
        <f t="shared" si="37"/>
        <v>0</v>
      </c>
      <c r="N52" s="43">
        <f t="shared" si="37"/>
        <v>0</v>
      </c>
      <c r="O52" s="43">
        <f t="shared" si="37"/>
        <v>0</v>
      </c>
      <c r="P52" s="43">
        <f t="shared" si="37"/>
        <v>0</v>
      </c>
      <c r="Q52" s="43">
        <f t="shared" si="37"/>
        <v>0</v>
      </c>
      <c r="R52" s="43">
        <f t="shared" si="37"/>
        <v>0</v>
      </c>
      <c r="S52" s="43">
        <f t="shared" si="37"/>
        <v>0</v>
      </c>
      <c r="T52" s="43">
        <f t="shared" si="37"/>
        <v>0</v>
      </c>
      <c r="U52" s="43">
        <f t="shared" si="37"/>
        <v>0</v>
      </c>
      <c r="V52" s="43">
        <f t="shared" si="37"/>
        <v>0</v>
      </c>
      <c r="W52" s="43">
        <f t="shared" si="37"/>
        <v>0</v>
      </c>
      <c r="X52" s="43">
        <f t="shared" si="37"/>
        <v>0</v>
      </c>
      <c r="Y52" s="43">
        <f t="shared" si="37"/>
        <v>0</v>
      </c>
      <c r="Z52" s="43">
        <f t="shared" si="37"/>
        <v>0</v>
      </c>
      <c r="AA52" s="43">
        <f t="shared" si="37"/>
        <v>0</v>
      </c>
      <c r="AB52" s="43">
        <f t="shared" si="37"/>
        <v>0</v>
      </c>
      <c r="AC52" s="43">
        <f t="shared" si="37"/>
        <v>0</v>
      </c>
      <c r="AD52" s="43">
        <f t="shared" si="37"/>
        <v>0</v>
      </c>
      <c r="AE52" s="43">
        <f t="shared" si="37"/>
        <v>0</v>
      </c>
      <c r="AF52" s="43">
        <f t="shared" si="37"/>
        <v>0</v>
      </c>
      <c r="AG52" s="43">
        <f>SUM(AG9:AG16)</f>
        <v>0</v>
      </c>
      <c r="AH52" s="43">
        <f t="shared" ref="AH52:AI52" si="38">SUM(AH9:AH16)</f>
        <v>0</v>
      </c>
      <c r="AI52" s="43">
        <f t="shared" si="38"/>
        <v>0</v>
      </c>
      <c r="AJ52" s="39">
        <f>SUM(E52:AI52)</f>
        <v>0</v>
      </c>
      <c r="AK52" s="40"/>
      <c r="AL52" s="41">
        <f>SUM(AL9:AL15)</f>
        <v>0</v>
      </c>
    </row>
    <row r="53" spans="1:39" ht="16.5" customHeight="1" x14ac:dyDescent="0.3"/>
    <row r="54" spans="1:39" ht="16.5" customHeight="1" x14ac:dyDescent="0.3">
      <c r="AA54" s="44"/>
    </row>
    <row r="55" spans="1:39" ht="16.5" customHeight="1" x14ac:dyDescent="0.3"/>
    <row r="56" spans="1:39" ht="16.5" customHeight="1" x14ac:dyDescent="0.3"/>
    <row r="57" spans="1:39" ht="16.5" customHeight="1" x14ac:dyDescent="0.3"/>
    <row r="58" spans="1:39" ht="16.5" customHeight="1" x14ac:dyDescent="0.3"/>
    <row r="59" spans="1:39" ht="16.5" customHeight="1" x14ac:dyDescent="0.3"/>
    <row r="60" spans="1:39" ht="16.5" customHeight="1" x14ac:dyDescent="0.3"/>
    <row r="61" spans="1:39" ht="16.5" customHeight="1" x14ac:dyDescent="0.3"/>
    <row r="62" spans="1:39" ht="16.5" customHeight="1" x14ac:dyDescent="0.3">
      <c r="A62" s="45" t="s">
        <v>59</v>
      </c>
    </row>
    <row r="63" spans="1:39" ht="16.5" customHeight="1" x14ac:dyDescent="0.3">
      <c r="A63" s="45" t="s">
        <v>60</v>
      </c>
    </row>
    <row r="64" spans="1:39" ht="16.5" customHeight="1" x14ac:dyDescent="0.3">
      <c r="A64" s="45" t="s">
        <v>61</v>
      </c>
    </row>
    <row r="65" spans="1:1" ht="16.5" customHeight="1" x14ac:dyDescent="0.3">
      <c r="A65" s="45" t="s">
        <v>62</v>
      </c>
    </row>
    <row r="66" spans="1:1" ht="16.5" customHeight="1" x14ac:dyDescent="0.3">
      <c r="A66" s="45" t="s">
        <v>63</v>
      </c>
    </row>
    <row r="67" spans="1:1" ht="16.5" customHeight="1" x14ac:dyDescent="0.3"/>
    <row r="68" spans="1:1" ht="16.5" customHeight="1" x14ac:dyDescent="0.3"/>
    <row r="69" spans="1:1" ht="16.5" customHeight="1" x14ac:dyDescent="0.3"/>
    <row r="70" spans="1:1" ht="16.5" customHeight="1" x14ac:dyDescent="0.3"/>
    <row r="71" spans="1:1" ht="16.5" customHeight="1" x14ac:dyDescent="0.3"/>
    <row r="72" spans="1:1" ht="16.5" customHeight="1" x14ac:dyDescent="0.3"/>
    <row r="73" spans="1:1" ht="16.5" customHeight="1" x14ac:dyDescent="0.3"/>
    <row r="74" spans="1:1" ht="16.5" customHeight="1" x14ac:dyDescent="0.3"/>
    <row r="75" spans="1:1" ht="16.5" customHeight="1" x14ac:dyDescent="0.3"/>
    <row r="76" spans="1:1" ht="16.5" customHeight="1" x14ac:dyDescent="0.3"/>
    <row r="77" spans="1:1" ht="16.5" customHeight="1" x14ac:dyDescent="0.3"/>
    <row r="78" spans="1:1" ht="16.5" customHeight="1" x14ac:dyDescent="0.3"/>
    <row r="79" spans="1:1" ht="16.5" customHeight="1" x14ac:dyDescent="0.3"/>
    <row r="80" spans="1:1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</sheetData>
  <mergeCells count="17">
    <mergeCell ref="A1:AM1"/>
    <mergeCell ref="A2:B3"/>
    <mergeCell ref="C2:D3"/>
    <mergeCell ref="AH2:AJ2"/>
    <mergeCell ref="AK2:AK3"/>
    <mergeCell ref="AL2:AM3"/>
    <mergeCell ref="AH3:AJ3"/>
    <mergeCell ref="AL4:AL6"/>
    <mergeCell ref="AM4:AM6"/>
    <mergeCell ref="AO5:AP6"/>
    <mergeCell ref="A50:D50"/>
    <mergeCell ref="A4:A6"/>
    <mergeCell ref="C4:C6"/>
    <mergeCell ref="D4:D6"/>
    <mergeCell ref="E4:AI4"/>
    <mergeCell ref="AJ4:AJ6"/>
    <mergeCell ref="AK4:AK6"/>
  </mergeCells>
  <phoneticPr fontId="3" type="noConversion"/>
  <printOptions horizontalCentered="1"/>
  <pageMargins left="0.70866141732283472" right="0.39370078740157483" top="0.59055118110236227" bottom="0.39370078740157483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세대청소</vt:lpstr>
      <vt:lpstr>세대청소!Print_Area</vt:lpstr>
      <vt:lpstr>세대청소!Print_Titles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사냥 더위</dc:creator>
  <cp:lastModifiedBy>사냥 더위</cp:lastModifiedBy>
  <dcterms:created xsi:type="dcterms:W3CDTF">2026-08-01T06:59:52Z</dcterms:created>
  <dcterms:modified xsi:type="dcterms:W3CDTF">2026-08-01T07:05:19Z</dcterms:modified>
</cp:coreProperties>
</file>