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720"/>
  </bookViews>
  <sheets>
    <sheet sheetId="1" name="세대청소" state="visible" r:id="rId4"/>
  </sheets>
  <definedNames>
    <definedName name="ACCLINK.XLS_Localization_Table_List">$A$1:$B$11</definedName>
    <definedName name="ACCLINK.XLS_Localization_Table_List1">$A$13:$B$31</definedName>
    <definedName name="ACCLINK.XLS_Localization_Table_List10">$A$13:$B$33</definedName>
    <definedName name="ACCLINK.XLS_Localization_Table_List11">$A$13:$B$33</definedName>
    <definedName name="ACCLINK.XLS_Localization_Table_List12">$A$13:$B$33</definedName>
    <definedName name="ACCLINK.XLS_Localization_Table_List13">$A$13:$B$33</definedName>
    <definedName name="ACCLINK.XLS_Localization_Table_List14">$A$13:$B$33</definedName>
    <definedName name="ACCLINK.XLS_Localization_Table_List15">$A$13:$B$33</definedName>
    <definedName name="ACCLINK.XLS_Localization_Table_List16">$A$13:$B$33</definedName>
    <definedName name="ACCLINK.XLS_Localization_Table_List17">$A$13:$B$33</definedName>
    <definedName name="ACCLINK.XLS_Localization_Table_List18">$A$13:$B$33</definedName>
    <definedName name="ACCLINK.XLS_Localization_Table_List19">$A$13:$B$33</definedName>
    <definedName name="ACCLINK.XLS_Localization_Table_List2">$A$13:$B$31</definedName>
    <definedName name="ACCLINK.XLS_Localization_Table_List3">$A$13:$B$31</definedName>
    <definedName name="ACCLINK.XLS_Localization_Table_List4">$A$13:$B$31</definedName>
    <definedName name="ACCLINK.XLS_Localization_Table_List5">$A$13:$B$31</definedName>
    <definedName name="ACCLINK.XLS_Localization_Table_List6">$A$13:$B$31</definedName>
    <definedName name="ACCLINK.XLS_Localization_Table_List7">$A$13:$B$31</definedName>
    <definedName name="ACCLINK.XLS_Localization_Table_List8">$A$13:$B$31</definedName>
    <definedName name="ACCLINK.XLS_Localization_Table_List9">$A$13:$B$33</definedName>
    <definedName name="원주인명부">'[1]원주인명부'!$A$3:$W$2980</definedName>
    <definedName name="출력">'[1]출력'!$A$1:$B$250</definedName>
    <definedName name="_xlnm.Print_Area" localSheetId="0">'세대청소'!$A1:$AM50</definedName>
    <definedName name="_xlnm.Print_Titles" localSheetId="0">'세대청소'!$2:$6</definedName>
  </definedNames>
  <calcPr calcId="171027"/>
</workbook>
</file>

<file path=xl/sharedStrings.xml><?xml version="1.0" encoding="utf-8"?>
<sst xmlns="http://schemas.openxmlformats.org/spreadsheetml/2006/main" count="270" uniqueCount="149">
  <si>
    <t>26년 8월 노임 지급 대장 ( 우민이엔지 )</t>
  </si>
  <si>
    <t>회사명</t>
  </si>
  <si>
    <t>(주)우민이엔지</t>
  </si>
  <si>
    <t>현장명</t>
  </si>
  <si>
    <t>원주무실 공동주택 신축공사</t>
  </si>
  <si>
    <t>성   명</t>
  </si>
  <si>
    <t>주민번호</t>
  </si>
  <si>
    <t>주소</t>
  </si>
  <si>
    <t>출근</t>
  </si>
  <si>
    <t>단가</t>
  </si>
  <si>
    <t>금   액</t>
  </si>
  <si>
    <t>영수인</t>
  </si>
  <si>
    <t>본명</t>
  </si>
  <si>
    <r>
      <t>IF(ISERROR(IF(A7="","",VLOOKUP(A7,</t>
    </r>
    <r>
      <rPr>
        <charset val="129"/>
        <color theme="1"/>
        <family val="3"/>
        <sz val="8"/>
        <rFont val="맑은 고딕"/>
      </rPr>
      <t>출력</t>
    </r>
    <r>
      <rPr>
        <color theme="1"/>
        <family val="2"/>
        <sz val="8"/>
        <rFont val="Arial Narrow"/>
      </rPr>
      <t>,2,FALSE))),"",IF(A7="","",VLOOKUP(A7,</t>
    </r>
    <r>
      <rPr>
        <charset val="129"/>
        <color theme="1"/>
        <family val="3"/>
        <sz val="8"/>
        <rFont val="맑은 고딕"/>
      </rPr>
      <t>출력</t>
    </r>
    <r>
      <rPr>
        <color theme="1"/>
        <family val="2"/>
        <sz val="8"/>
        <rFont val="Arial Narrow"/>
      </rPr>
      <t>,2,FALSE)))</t>
    </r>
  </si>
  <si>
    <t>(외국인)</t>
  </si>
  <si>
    <t>토</t>
  </si>
  <si>
    <t>일</t>
  </si>
  <si>
    <t>월</t>
  </si>
  <si>
    <t>화</t>
  </si>
  <si>
    <t>수</t>
  </si>
  <si>
    <t>목</t>
  </si>
  <si>
    <t>금</t>
  </si>
  <si>
    <t>합법</t>
  </si>
  <si>
    <t/>
  </si>
  <si>
    <t>안현용</t>
  </si>
  <si>
    <t>720217-1683811</t>
  </si>
  <si>
    <t>경기 평택시 소사7로8, 114-1404</t>
  </si>
  <si>
    <t>최혜순</t>
  </si>
  <si>
    <t>710605-2226811</t>
  </si>
  <si>
    <t>경기 평택시 비전4로 175, 702-2203</t>
  </si>
  <si>
    <t>신용식</t>
  </si>
  <si>
    <t>601123-1332730</t>
  </si>
  <si>
    <t>정선군 남면 지장천로76,7-402</t>
  </si>
  <si>
    <t>김성백65</t>
  </si>
  <si>
    <t>650228-1808940</t>
  </si>
  <si>
    <t>강원 원주 동진골1길 64</t>
  </si>
  <si>
    <t>김대성</t>
  </si>
  <si>
    <t>661014-1067818</t>
  </si>
  <si>
    <t>원주시 중앙로14</t>
  </si>
  <si>
    <t>서정호</t>
  </si>
  <si>
    <t>760521-1395111</t>
  </si>
  <si>
    <t>서울 광진구 뚝섬로22길 28</t>
  </si>
  <si>
    <t>불법</t>
  </si>
  <si>
    <t>동반티오</t>
  </si>
  <si>
    <t>DONGVANTHAO</t>
  </si>
  <si>
    <t>801001-5</t>
  </si>
  <si>
    <t>원주시 원일로 172번지</t>
  </si>
  <si>
    <t>반하</t>
  </si>
  <si>
    <t>NGUYEN VAN HA</t>
  </si>
  <si>
    <t>650220-5</t>
  </si>
  <si>
    <t>무안</t>
  </si>
  <si>
    <t>BRAMUAN</t>
  </si>
  <si>
    <t>800628-5</t>
  </si>
  <si>
    <t>카몰이딘</t>
  </si>
  <si>
    <t>SHOKIR JONOV KAMOLIDDIN</t>
  </si>
  <si>
    <t>980107-5</t>
  </si>
  <si>
    <t>자로니</t>
  </si>
  <si>
    <t>JAHRONI</t>
  </si>
  <si>
    <t>941216-5</t>
  </si>
  <si>
    <t>보부르</t>
  </si>
  <si>
    <t>GOFUROV BOBURJON KHASAN UGLI</t>
  </si>
  <si>
    <t>910224-5</t>
  </si>
  <si>
    <t>라킴잔</t>
  </si>
  <si>
    <t>MOMUNOV RAKHIMZHAN</t>
  </si>
  <si>
    <t>880112-5</t>
  </si>
  <si>
    <t>상지대길 75-14</t>
  </si>
  <si>
    <t>잠</t>
  </si>
  <si>
    <t>AMENORZAM BIN SAAD</t>
  </si>
  <si>
    <t>761021-5</t>
  </si>
  <si>
    <t>기안</t>
  </si>
  <si>
    <t>GIAN RAMANDA</t>
  </si>
  <si>
    <t>020531-5</t>
  </si>
  <si>
    <t>미사엘</t>
  </si>
  <si>
    <t>MISAEL BIN KISIL</t>
  </si>
  <si>
    <t>991203-5</t>
  </si>
  <si>
    <t>소딕</t>
  </si>
  <si>
    <t>KODIROVMUKHAMMADSODIK MURODILOVICH</t>
  </si>
  <si>
    <t>050328-5</t>
  </si>
  <si>
    <t>나디</t>
  </si>
  <si>
    <t>NADI BIN JAMBIRAN</t>
  </si>
  <si>
    <t>880401-5</t>
  </si>
  <si>
    <t>원주시 원일로 172</t>
  </si>
  <si>
    <t>아사</t>
  </si>
  <si>
    <t>ASADBEK</t>
  </si>
  <si>
    <t>000608-5</t>
  </si>
  <si>
    <t>사이드코심</t>
  </si>
  <si>
    <t>KOSIMOV SAIDKOSIM</t>
  </si>
  <si>
    <t>980320-5</t>
  </si>
  <si>
    <t>짠광휘</t>
  </si>
  <si>
    <t>TRAN QUANG HUY</t>
  </si>
  <si>
    <t>010906-5</t>
  </si>
  <si>
    <t>북원로 2485번길</t>
  </si>
  <si>
    <t>나즈룰</t>
  </si>
  <si>
    <t>MOHD NAZRUL BIN MD YUNUS</t>
  </si>
  <si>
    <t>920427-5</t>
  </si>
  <si>
    <t>꾸엣</t>
  </si>
  <si>
    <t>DINH KHAC QUYET</t>
  </si>
  <si>
    <t>650205-5</t>
  </si>
  <si>
    <t>마소</t>
  </si>
  <si>
    <t>MUHAMMAD RIDHWANBINMASAUD</t>
  </si>
  <si>
    <t>900315-5</t>
  </si>
  <si>
    <t>강원 원주시</t>
  </si>
  <si>
    <t>오저드</t>
  </si>
  <si>
    <t>ABDIYEV OZOD</t>
  </si>
  <si>
    <t>FA1019342</t>
  </si>
  <si>
    <t>새</t>
  </si>
  <si>
    <t>PAITOON</t>
  </si>
  <si>
    <t>790213-5</t>
  </si>
  <si>
    <t>홍</t>
  </si>
  <si>
    <t>SOMSAART SUNTORN</t>
  </si>
  <si>
    <t>780628-5</t>
  </si>
  <si>
    <t>고르네와</t>
  </si>
  <si>
    <t>KURNIAWAN</t>
  </si>
  <si>
    <t>980221-5</t>
  </si>
  <si>
    <t>아지스</t>
  </si>
  <si>
    <t>ABDUL AZIS NURSEHA</t>
  </si>
  <si>
    <t>971010-5</t>
  </si>
  <si>
    <t>게르마</t>
  </si>
  <si>
    <t>FIRMANSYAH</t>
  </si>
  <si>
    <t>990902-5</t>
  </si>
  <si>
    <t>이르판</t>
  </si>
  <si>
    <t>IRFANSYAH</t>
  </si>
  <si>
    <t>021215-5</t>
  </si>
  <si>
    <t>파르비스</t>
  </si>
  <si>
    <t>GANIEV PARVIZ</t>
  </si>
  <si>
    <t>000906-5</t>
  </si>
  <si>
    <t>원일로 172번지</t>
  </si>
  <si>
    <t>라마</t>
  </si>
  <si>
    <t>KADIROV YUSUFBEK</t>
  </si>
  <si>
    <t>910921-5</t>
  </si>
  <si>
    <t>슈크라영</t>
  </si>
  <si>
    <t>MADAMINBEK UULU SHUKURALI</t>
  </si>
  <si>
    <t>980422-5</t>
  </si>
  <si>
    <t>팀</t>
  </si>
  <si>
    <t>SKORNIAKOV ANATOLII</t>
  </si>
  <si>
    <t>950513-5</t>
  </si>
  <si>
    <t>안드레이</t>
  </si>
  <si>
    <t>LITVINENKO ANDREI</t>
  </si>
  <si>
    <t>740129-5</t>
  </si>
  <si>
    <t>자수르</t>
  </si>
  <si>
    <t>ERGASHOV ZHASURBEK</t>
  </si>
  <si>
    <t>060301-5</t>
  </si>
  <si>
    <t>계</t>
  </si>
  <si>
    <t>합법출력</t>
  </si>
  <si>
    <t>김정환</t>
  </si>
  <si>
    <t>김창현</t>
  </si>
  <si>
    <t>양남석</t>
  </si>
  <si>
    <t>김세준</t>
  </si>
  <si>
    <t>유승현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</si>
</sst>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yyyy&quot;년&quot;mm&quot;월&quot;dd&quot;일&quot;"/>
    <numFmt numFmtId="165" formatCode="yyyy  &quot;년&quot;    mm  &quot;월&quot;"/>
    <numFmt numFmtId="166" formatCode="dd"/>
    <numFmt numFmtId="167" formatCode="&quot;월&quot;"/>
    <numFmt numFmtId="168" formatCode="_-* #,##0_-;-* #,##0_-;_-* &quot;-&quot;_-;_-@_-"/>
    <numFmt numFmtId="169" formatCode="000000-0000000"/>
    <numFmt numFmtId="170" formatCode="_-* #,##0.0_-;-* #,##0.0_-;_-* &quot;-&quot;?_-;_-@_-"/>
    <numFmt numFmtId="171" formatCode="_-* #,##0_-;-* #,##0_-;_-* &quot;-&quot;?_-;_-@_-"/>
    <numFmt numFmtId="172" formatCode="_(* #,##0_);_(* (#,##0);_(* &quot;-&quot;_);_(@_)"/>
    <numFmt numFmtId="173" formatCode="yy&quot;-&quot;mm&quot;-&quot;dd;@"/>
  </numFmts>
  <fonts count="26" x14ac:knownFonts="1">
    <font>
      <color theme="1"/>
      <family val="2"/>
      <scheme val="minor"/>
      <sz val="11"/>
      <name val="Calibri"/>
    </font>
    <font>
      <color theme="1"/>
      <family val="2"/>
      <sz val="8"/>
      <name val="Arial Narrow"/>
    </font>
    <font>
      <charset val="129"/>
      <family val="1"/>
      <sz val="24"/>
      <name val="휴먼옛체"/>
    </font>
    <font>
      <charset val="129"/>
      <family val="3"/>
      <sz val="11"/>
      <name val="굴림체"/>
    </font>
    <font>
      <b/>
      <charset val="129"/>
      <family val="3"/>
      <sz val="11"/>
      <name val="굴림체"/>
    </font>
    <font>
      <b/>
      <charset val="129"/>
      <family val="3"/>
      <sz val="10"/>
      <name val="굴림체"/>
    </font>
    <font>
      <b/>
      <charset val="129"/>
      <family val="1"/>
      <sz val="28"/>
      <name val="휴먼옛체"/>
    </font>
    <font>
      <b/>
      <charset val="129"/>
      <family val="1"/>
      <sz val="26"/>
      <name val="휴먼옛체"/>
    </font>
    <font>
      <charset val="129"/>
      <family val="3"/>
      <sz val="9"/>
      <name val="굴림체"/>
    </font>
    <font>
      <charset val="129"/>
      <family val="3"/>
      <sz val="10"/>
      <name val="굴림체"/>
    </font>
    <font>
      <b/>
      <charset val="129"/>
      <color theme="8" tint="-0.249977111117893"/>
      <family val="3"/>
      <sz val="10"/>
      <name val="굴림체"/>
    </font>
    <font>
      <b/>
      <charset val="129"/>
      <family val="3"/>
      <sz val="20"/>
      <name val="굴림체"/>
    </font>
    <font>
      <b/>
      <color theme="1"/>
      <family val="2"/>
      <sz val="10"/>
      <name val="Arial Narrow"/>
    </font>
    <font>
      <b/>
      <color rgb="FFFF0000"/>
      <family val="2"/>
      <sz val="10"/>
      <name val="Arial Narrow"/>
    </font>
    <font>
      <charset val="129"/>
      <color rgb="FFFF0000"/>
      <family val="3"/>
      <sz val="10"/>
      <name val="굴림체"/>
    </font>
    <font>
      <b/>
      <family val="2"/>
      <sz val="8"/>
      <name val="Arial Narrow"/>
    </font>
    <font>
      <family val="2"/>
      <sz val="8"/>
      <name val="Arial Narrow"/>
    </font>
    <font>
      <charset val="129"/>
      <family val="3"/>
      <sz val="8"/>
      <name val="돋움"/>
    </font>
    <font>
      <color theme="1"/>
      <family val="2"/>
      <sz val="9"/>
      <name val="Arial Narrow"/>
    </font>
    <font>
      <charset val="129"/>
      <color theme="1"/>
      <family val="3"/>
      <scheme val="minor"/>
      <sz val="8"/>
      <name val="맑은 고딕"/>
    </font>
    <font>
      <family val="2"/>
      <sz val="7"/>
      <name val="Arial Narrow"/>
    </font>
    <font>
      <b/>
      <family val="2"/>
      <sz val="10"/>
      <name val="Arial Narrow"/>
    </font>
    <font>
      <b/>
      <family val="2"/>
      <sz val="11"/>
      <name val="Arial Narrow"/>
    </font>
    <font>
      <b/>
      <charset val="129"/>
      <color theme="1"/>
      <family val="3"/>
      <scheme val="minor"/>
      <sz val="8"/>
      <name val="맑은 고딕"/>
    </font>
    <font>
      <b/>
      <family val="2"/>
      <sz val="6"/>
      <name val="Arial Narrow"/>
    </font>
    <font>
      <charset val="129"/>
      <color theme="1"/>
      <family val="3"/>
      <scheme val="minor"/>
      <sz val="11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vertical="center"/>
    </xf>
    <xf numFmtId="38" fontId="2" fillId="0" borderId="0" xfId="0" applyNumberFormat="1" applyFont="1" applyAlignment="1">
      <alignment horizontal="center" vertical="center"/>
    </xf>
    <xf numFmtId="38" fontId="3" fillId="0" borderId="1" xfId="0" applyNumberFormat="1" applyFont="1" applyBorder="1" applyAlignment="1">
      <alignment horizontal="center" vertical="center"/>
    </xf>
    <xf numFmtId="38" fontId="3" fillId="0" borderId="2" xfId="0" applyNumberFormat="1" applyFont="1" applyBorder="1" applyAlignment="1">
      <alignment horizontal="center" vertical="center"/>
    </xf>
    <xf numFmtId="38" fontId="4" fillId="0" borderId="0" xfId="0" applyNumberFormat="1" applyFont="1" applyAlignment="1">
      <alignment vertical="center"/>
    </xf>
    <xf numFmtId="38" fontId="5" fillId="0" borderId="0" xfId="0" applyNumberFormat="1" applyFont="1" applyAlignment="1">
      <alignment vertical="center"/>
    </xf>
    <xf numFmtId="38" fontId="6" fillId="0" borderId="0" xfId="0" applyNumberFormat="1" applyFont="1" applyAlignment="1">
      <alignment vertical="center"/>
    </xf>
    <xf numFmtId="38" fontId="7" fillId="0" borderId="0" xfId="0" applyNumberFormat="1" applyFont="1" applyAlignment="1">
      <alignment vertical="center"/>
    </xf>
    <xf numFmtId="38" fontId="8" fillId="0" borderId="0" xfId="0" applyNumberFormat="1" applyFont="1" applyAlignment="1">
      <alignment vertical="center"/>
    </xf>
    <xf numFmtId="164" fontId="5" fillId="0" borderId="0" xfId="0" applyNumberFormat="1" applyFont="1" applyAlignment="1">
      <alignment horizontal="left" vertical="center"/>
    </xf>
    <xf numFmtId="38" fontId="9" fillId="0" borderId="3" xfId="0" applyNumberFormat="1" applyFont="1" applyBorder="1" applyAlignment="1">
      <alignment horizontal="center" vertical="center"/>
    </xf>
    <xf numFmtId="38" fontId="9" fillId="0" borderId="1" xfId="0" applyNumberFormat="1" applyFont="1" applyBorder="1" applyAlignment="1">
      <alignment horizontal="center" vertical="center" wrapText="1"/>
    </xf>
    <xf numFmtId="38" fontId="9" fillId="0" borderId="2" xfId="0" applyNumberFormat="1" applyFont="1" applyBorder="1" applyAlignment="1">
      <alignment horizontal="center" vertical="center" wrapText="1"/>
    </xf>
    <xf numFmtId="38" fontId="3" fillId="0" borderId="4" xfId="0" applyNumberFormat="1" applyFont="1" applyBorder="1" applyAlignment="1">
      <alignment horizontal="center" vertical="center"/>
    </xf>
    <xf numFmtId="38" fontId="3" fillId="0" borderId="5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38" fontId="7" fillId="0" borderId="6" xfId="0" applyNumberFormat="1" applyFont="1" applyBorder="1" applyAlignment="1">
      <alignment vertical="center"/>
    </xf>
    <xf numFmtId="38" fontId="11" fillId="0" borderId="0" xfId="0" applyNumberFormat="1" applyFont="1" applyAlignment="1">
      <alignment horizontal="center" vertical="center"/>
    </xf>
    <xf numFmtId="38" fontId="5" fillId="0" borderId="6" xfId="0" applyNumberFormat="1" applyFont="1" applyBorder="1" applyAlignment="1">
      <alignment vertical="center"/>
    </xf>
    <xf numFmtId="164" fontId="5" fillId="0" borderId="6" xfId="0" applyNumberFormat="1" applyFont="1" applyBorder="1" applyAlignment="1">
      <alignment horizontal="right" vertical="center"/>
    </xf>
    <xf numFmtId="38" fontId="9" fillId="0" borderId="4" xfId="0" applyNumberFormat="1" applyFont="1" applyBorder="1" applyAlignment="1">
      <alignment horizontal="center" vertical="center" wrapText="1"/>
    </xf>
    <xf numFmtId="38" fontId="9" fillId="0" borderId="5" xfId="0" applyNumberFormat="1" applyFont="1" applyBorder="1" applyAlignment="1">
      <alignment horizontal="center" vertical="center" wrapText="1"/>
    </xf>
    <xf numFmtId="38" fontId="5" fillId="0" borderId="7" xfId="0" applyNumberFormat="1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38" fontId="5" fillId="0" borderId="8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38" fontId="5" fillId="0" borderId="11" xfId="0" applyNumberFormat="1" applyFont="1" applyBorder="1" applyAlignment="1">
      <alignment horizontal="center" vertical="center"/>
    </xf>
    <xf numFmtId="38" fontId="5" fillId="0" borderId="12" xfId="0" applyNumberFormat="1" applyFont="1" applyBorder="1" applyAlignment="1">
      <alignment horizontal="center" vertical="center"/>
    </xf>
    <xf numFmtId="166" fontId="12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38" fontId="5" fillId="0" borderId="4" xfId="0" applyNumberFormat="1" applyFont="1" applyBorder="1" applyAlignment="1">
      <alignment horizontal="center" vertical="center"/>
    </xf>
    <xf numFmtId="38" fontId="5" fillId="0" borderId="14" xfId="0" applyNumberFormat="1" applyFont="1" applyBorder="1" applyAlignment="1">
      <alignment horizontal="center" vertical="center"/>
    </xf>
    <xf numFmtId="167" fontId="9" fillId="0" borderId="13" xfId="0" applyNumberFormat="1" applyFont="1" applyBorder="1" applyAlignment="1">
      <alignment horizontal="center" vertical="center"/>
    </xf>
    <xf numFmtId="167" fontId="14" fillId="0" borderId="13" xfId="0" applyNumberFormat="1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shrinkToFit="1"/>
    </xf>
    <xf numFmtId="168" fontId="15" fillId="0" borderId="8" xfId="0" applyNumberFormat="1" applyFont="1" applyBorder="1" applyAlignment="1">
      <alignment vertical="center"/>
    </xf>
    <xf numFmtId="169" fontId="16" fillId="0" borderId="15" xfId="0" applyNumberFormat="1" applyFont="1" applyBorder="1" applyAlignment="1">
      <alignment horizontal="center" vertical="center" wrapText="1"/>
    </xf>
    <xf numFmtId="0" fontId="17" fillId="0" borderId="16" xfId="0" applyFont="1" applyBorder="1" applyAlignment="1">
      <alignment horizontal="left" vertical="center" wrapText="1"/>
    </xf>
    <xf numFmtId="170" fontId="15" fillId="0" borderId="17" xfId="0" applyNumberFormat="1" applyFont="1" applyBorder="1" applyAlignment="1">
      <alignment vertical="center"/>
    </xf>
    <xf numFmtId="170" fontId="15" fillId="0" borderId="1" xfId="0" applyNumberFormat="1" applyFont="1" applyBorder="1" applyAlignment="1">
      <alignment vertical="center"/>
    </xf>
    <xf numFmtId="171" fontId="15" fillId="0" borderId="1" xfId="0" applyNumberFormat="1" applyFont="1" applyBorder="1" applyAlignment="1">
      <alignment vertical="center"/>
    </xf>
    <xf numFmtId="172" fontId="15" fillId="0" borderId="8" xfId="0" applyNumberFormat="1" applyFont="1" applyBorder="1" applyAlignment="1">
      <alignment vertical="center"/>
    </xf>
    <xf numFmtId="0" fontId="9" fillId="0" borderId="8" xfId="0" applyFont="1" applyBorder="1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9" fillId="3" borderId="8" xfId="0" applyFont="1" applyFill="1" applyBorder="1" applyAlignment="1">
      <alignment horizontal="center" vertical="center" shrinkToFit="1"/>
    </xf>
    <xf numFmtId="168" fontId="15" fillId="3" borderId="8" xfId="0" applyNumberFormat="1" applyFont="1" applyFill="1" applyBorder="1" applyAlignment="1">
      <alignment vertical="center"/>
    </xf>
    <xf numFmtId="169" fontId="16" fillId="3" borderId="15" xfId="0" applyNumberFormat="1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left" vertical="center" wrapText="1"/>
    </xf>
    <xf numFmtId="169" fontId="17" fillId="3" borderId="15" xfId="0" applyNumberFormat="1" applyFont="1" applyFill="1" applyBorder="1" applyAlignment="1">
      <alignment horizontal="center" vertical="center" wrapText="1"/>
    </xf>
    <xf numFmtId="172" fontId="16" fillId="0" borderId="8" xfId="0" applyNumberFormat="1" applyFont="1" applyBorder="1" applyAlignment="1">
      <alignment vertical="center"/>
    </xf>
    <xf numFmtId="173" fontId="19" fillId="0" borderId="0" xfId="0" applyNumberFormat="1" applyFont="1" applyAlignment="1">
      <alignment horizontal="center" vertical="center"/>
    </xf>
    <xf numFmtId="170" fontId="15" fillId="0" borderId="17" xfId="0" applyNumberFormat="1" applyFont="1" applyBorder="1" applyAlignment="1">
      <alignment horizontal="center" vertical="center"/>
    </xf>
    <xf numFmtId="38" fontId="4" fillId="0" borderId="7" xfId="0" applyNumberFormat="1" applyFont="1" applyBorder="1" applyAlignment="1">
      <alignment horizontal="center" vertical="center" wrapText="1"/>
    </xf>
    <xf numFmtId="38" fontId="4" fillId="0" borderId="9" xfId="0" applyNumberFormat="1" applyFont="1" applyBorder="1" applyAlignment="1">
      <alignment horizontal="center" vertical="center" wrapText="1"/>
    </xf>
    <xf numFmtId="38" fontId="4" fillId="0" borderId="10" xfId="0" applyNumberFormat="1" applyFont="1" applyBorder="1" applyAlignment="1">
      <alignment horizontal="center" vertical="center" wrapText="1"/>
    </xf>
    <xf numFmtId="170" fontId="20" fillId="0" borderId="13" xfId="0" applyNumberFormat="1" applyFont="1" applyBorder="1" applyAlignment="1">
      <alignment horizontal="center" vertical="center"/>
    </xf>
    <xf numFmtId="170" fontId="21" fillId="0" borderId="3" xfId="0" applyNumberFormat="1" applyFont="1" applyBorder="1" applyAlignment="1">
      <alignment vertical="center"/>
    </xf>
    <xf numFmtId="170" fontId="22" fillId="0" borderId="3" xfId="0" applyNumberFormat="1" applyFont="1" applyBorder="1" applyAlignment="1">
      <alignment vertical="center"/>
    </xf>
    <xf numFmtId="172" fontId="21" fillId="0" borderId="3" xfId="0" applyNumberFormat="1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170" fontId="24" fillId="0" borderId="13" xfId="0" applyNumberFormat="1" applyFont="1" applyBorder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09"/>
  <sheetViews>
    <sheetView workbookViewId="0" zoomScale="85" zoomScaleNormal="100" view="pageBreakPreview">
      <selection activeCell="Q10" sqref="Q10"/>
    </sheetView>
  </sheetViews>
  <sheetFormatPr defaultRowHeight="16.5" outlineLevelRow="0" outlineLevelCol="0" x14ac:dyDescent="0.3" defaultColWidth="9" customHeight="1"/>
  <cols>
    <col min="1" max="1" width="7.625" customWidth="1"/>
    <col min="2" max="3" width="11" customWidth="1"/>
    <col min="4" max="4" width="22.75" customWidth="1"/>
    <col min="5" max="35" width="3.375" customWidth="1"/>
    <col min="36" max="36" width="5.5" customWidth="1"/>
    <col min="38" max="38" width="9.25" customWidth="1"/>
    <col min="40" max="40" width="9" style="1" customWidth="1"/>
    <col min="41" max="41" width="9.5" style="1" customWidth="1"/>
    <col min="42" max="51" width="9" style="1" customWidth="1"/>
  </cols>
  <sheetData>
    <row r="1" ht="51.75" customHeight="1" spans="1:3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2" ht="18" customHeight="1" spans="1:39" x14ac:dyDescent="0.25">
      <c r="A2" s="3" t="s">
        <v>1</v>
      </c>
      <c r="B2" s="4"/>
      <c r="C2" s="3" t="s">
        <v>2</v>
      </c>
      <c r="D2" s="4"/>
      <c r="E2" s="5"/>
      <c r="F2" s="6"/>
      <c r="G2" s="6"/>
      <c r="H2" s="6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8"/>
      <c r="AC2" s="8"/>
      <c r="AD2" s="8"/>
      <c r="AE2" s="8"/>
      <c r="AF2" s="9"/>
      <c r="AG2" s="6"/>
      <c r="AH2" s="10"/>
      <c r="AI2" s="10"/>
      <c r="AJ2" s="10"/>
      <c r="AK2" s="11" t="s">
        <v>3</v>
      </c>
      <c r="AL2" s="12" t="s">
        <v>4</v>
      </c>
      <c r="AM2" s="13"/>
    </row>
    <row r="3" ht="18" customHeight="1" spans="1:39" x14ac:dyDescent="0.25">
      <c r="A3" s="14"/>
      <c r="B3" s="15"/>
      <c r="C3" s="14"/>
      <c r="D3" s="15"/>
      <c r="E3" s="16"/>
      <c r="F3" s="16"/>
      <c r="G3" s="17"/>
      <c r="H3" s="17"/>
      <c r="I3" s="17"/>
      <c r="J3" s="17"/>
      <c r="K3" s="17"/>
      <c r="L3" s="17"/>
      <c r="M3" s="18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8"/>
      <c r="Z3" s="18"/>
      <c r="AA3" s="18"/>
      <c r="AB3" s="18"/>
      <c r="AC3" s="18"/>
      <c r="AD3" s="18"/>
      <c r="AE3" s="18"/>
      <c r="AF3" s="19"/>
      <c r="AG3" s="20"/>
      <c r="AH3" s="21"/>
      <c r="AI3" s="21"/>
      <c r="AJ3" s="21"/>
      <c r="AK3" s="11"/>
      <c r="AL3" s="22"/>
      <c r="AM3" s="23"/>
    </row>
    <row r="4" ht="16.5" customHeight="1" spans="1:39" x14ac:dyDescent="0.25">
      <c r="A4" s="24" t="s">
        <v>5</v>
      </c>
      <c r="B4" s="25"/>
      <c r="C4" s="26" t="s">
        <v>6</v>
      </c>
      <c r="D4" s="26" t="s">
        <v>7</v>
      </c>
      <c r="E4" s="27">
        <v>46237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9"/>
      <c r="AJ4" s="25" t="s">
        <v>8</v>
      </c>
      <c r="AK4" s="25" t="s">
        <v>9</v>
      </c>
      <c r="AL4" s="26" t="s">
        <v>10</v>
      </c>
      <c r="AM4" s="26" t="s">
        <v>11</v>
      </c>
    </row>
    <row r="5" ht="16.5" customHeight="1" spans="1:42" x14ac:dyDescent="0.25">
      <c r="A5" s="24"/>
      <c r="B5" s="30" t="s">
        <v>12</v>
      </c>
      <c r="C5" s="31"/>
      <c r="D5" s="31"/>
      <c r="E5" s="32">
        <v>46143</v>
      </c>
      <c r="F5" s="33">
        <v>46144</v>
      </c>
      <c r="G5" s="32">
        <v>46145</v>
      </c>
      <c r="H5" s="32">
        <v>46146</v>
      </c>
      <c r="I5" s="32">
        <v>46147</v>
      </c>
      <c r="J5" s="32">
        <v>46148</v>
      </c>
      <c r="K5" s="32">
        <v>46149</v>
      </c>
      <c r="L5" s="32">
        <v>46150</v>
      </c>
      <c r="M5" s="33">
        <v>46151</v>
      </c>
      <c r="N5" s="32">
        <v>46152</v>
      </c>
      <c r="O5" s="32">
        <v>46153</v>
      </c>
      <c r="P5" s="32">
        <v>46154</v>
      </c>
      <c r="Q5" s="32">
        <v>46155</v>
      </c>
      <c r="R5" s="32">
        <v>46156</v>
      </c>
      <c r="S5" s="32">
        <v>46157</v>
      </c>
      <c r="T5" s="33">
        <v>46158</v>
      </c>
      <c r="U5" s="32">
        <v>46159</v>
      </c>
      <c r="V5" s="32">
        <v>46160</v>
      </c>
      <c r="W5" s="32">
        <v>46161</v>
      </c>
      <c r="X5" s="32">
        <v>46162</v>
      </c>
      <c r="Y5" s="32">
        <v>46163</v>
      </c>
      <c r="Z5" s="32">
        <v>46164</v>
      </c>
      <c r="AA5" s="33">
        <v>46165</v>
      </c>
      <c r="AB5" s="32">
        <v>46166</v>
      </c>
      <c r="AC5" s="32">
        <v>46167</v>
      </c>
      <c r="AD5" s="32">
        <v>46168</v>
      </c>
      <c r="AE5" s="32">
        <v>46169</v>
      </c>
      <c r="AF5" s="32">
        <v>46170</v>
      </c>
      <c r="AG5" s="32">
        <v>46171</v>
      </c>
      <c r="AH5" s="33">
        <v>46172</v>
      </c>
      <c r="AI5" s="32">
        <v>46173</v>
      </c>
      <c r="AJ5" s="30"/>
      <c r="AK5" s="30"/>
      <c r="AL5" s="31"/>
      <c r="AM5" s="31"/>
      <c r="AN5" s="1"/>
      <c r="AO5" s="34" t="s">
        <v>13</v>
      </c>
      <c r="AP5" s="34"/>
    </row>
    <row r="6" ht="16.5" customHeight="1" spans="1:42" x14ac:dyDescent="0.25">
      <c r="A6" s="24"/>
      <c r="B6" s="35" t="s">
        <v>14</v>
      </c>
      <c r="C6" s="36"/>
      <c r="D6" s="36"/>
      <c r="E6" s="37" t="s">
        <v>15</v>
      </c>
      <c r="F6" s="38" t="s">
        <v>16</v>
      </c>
      <c r="G6" s="37" t="s">
        <v>17</v>
      </c>
      <c r="H6" s="37" t="s">
        <v>18</v>
      </c>
      <c r="I6" s="37" t="s">
        <v>19</v>
      </c>
      <c r="J6" s="37" t="s">
        <v>20</v>
      </c>
      <c r="K6" s="37" t="s">
        <v>21</v>
      </c>
      <c r="L6" s="37" t="s">
        <v>15</v>
      </c>
      <c r="M6" s="38" t="s">
        <v>16</v>
      </c>
      <c r="N6" s="37" t="s">
        <v>17</v>
      </c>
      <c r="O6" s="37" t="s">
        <v>18</v>
      </c>
      <c r="P6" s="37" t="s">
        <v>19</v>
      </c>
      <c r="Q6" s="37" t="s">
        <v>20</v>
      </c>
      <c r="R6" s="37" t="s">
        <v>21</v>
      </c>
      <c r="S6" s="37" t="s">
        <v>15</v>
      </c>
      <c r="T6" s="38" t="s">
        <v>16</v>
      </c>
      <c r="U6" s="37" t="s">
        <v>17</v>
      </c>
      <c r="V6" s="37" t="s">
        <v>18</v>
      </c>
      <c r="W6" s="37" t="s">
        <v>19</v>
      </c>
      <c r="X6" s="37" t="s">
        <v>20</v>
      </c>
      <c r="Y6" s="37" t="s">
        <v>21</v>
      </c>
      <c r="Z6" s="37" t="s">
        <v>15</v>
      </c>
      <c r="AA6" s="38" t="s">
        <v>16</v>
      </c>
      <c r="AB6" s="37" t="s">
        <v>17</v>
      </c>
      <c r="AC6" s="37" t="s">
        <v>18</v>
      </c>
      <c r="AD6" s="37" t="s">
        <v>19</v>
      </c>
      <c r="AE6" s="37" t="s">
        <v>20</v>
      </c>
      <c r="AF6" s="37" t="s">
        <v>21</v>
      </c>
      <c r="AG6" s="37" t="s">
        <v>15</v>
      </c>
      <c r="AH6" s="38" t="s">
        <v>16</v>
      </c>
      <c r="AI6" s="37" t="s">
        <v>17</v>
      </c>
      <c r="AJ6" s="35"/>
      <c r="AK6" s="35"/>
      <c r="AL6" s="36"/>
      <c r="AM6" s="36"/>
      <c r="AN6" s="1"/>
      <c r="AO6" s="34"/>
      <c r="AP6" s="34"/>
    </row>
    <row r="7" ht="16.5" customHeight="1" spans="1:39" x14ac:dyDescent="0.25">
      <c r="A7" s="39"/>
      <c r="B7" s="40"/>
      <c r="C7" s="41"/>
      <c r="D7" s="42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4">
        <f t="shared" ref="AJ7:AJ49" si="0">SUM(E7:AI7)</f>
        <v>0</v>
      </c>
      <c r="AK7" s="45"/>
      <c r="AL7" s="46">
        <f t="shared" ref="AL7:AL49" si="1">IF(ISERROR(AJ7*AK7),"",AJ7*AK7)</f>
      </c>
      <c r="AM7" s="46"/>
    </row>
    <row r="8" ht="16.5" customHeight="1" spans="1:39" x14ac:dyDescent="0.25">
      <c r="A8" s="39" t="s">
        <v>22</v>
      </c>
      <c r="B8" s="40"/>
      <c r="C8" s="41"/>
      <c r="D8" s="42"/>
      <c r="E8" s="43" t="s">
        <v>23</v>
      </c>
      <c r="F8" s="43" t="s">
        <v>23</v>
      </c>
      <c r="G8" s="43" t="s">
        <v>23</v>
      </c>
      <c r="H8" s="43" t="s">
        <v>23</v>
      </c>
      <c r="I8" s="43"/>
      <c r="J8" s="43" t="s">
        <v>23</v>
      </c>
      <c r="K8" s="43" t="s">
        <v>23</v>
      </c>
      <c r="L8" s="43" t="s">
        <v>23</v>
      </c>
      <c r="M8" s="43" t="s">
        <v>23</v>
      </c>
      <c r="N8" s="43" t="s">
        <v>23</v>
      </c>
      <c r="O8" s="43" t="s">
        <v>23</v>
      </c>
      <c r="P8" s="43"/>
      <c r="Q8" s="43" t="s">
        <v>23</v>
      </c>
      <c r="R8" s="43"/>
      <c r="S8" s="43" t="s">
        <v>23</v>
      </c>
      <c r="T8" s="43" t="s">
        <v>23</v>
      </c>
      <c r="U8" s="43" t="s">
        <v>23</v>
      </c>
      <c r="V8" s="43" t="s">
        <v>23</v>
      </c>
      <c r="W8" s="43"/>
      <c r="X8" s="43" t="s">
        <v>23</v>
      </c>
      <c r="Y8" s="43" t="s">
        <v>23</v>
      </c>
      <c r="Z8" s="43" t="s">
        <v>23</v>
      </c>
      <c r="AA8" s="43" t="s">
        <v>23</v>
      </c>
      <c r="AB8" s="43" t="s">
        <v>23</v>
      </c>
      <c r="AC8" s="43" t="s">
        <v>23</v>
      </c>
      <c r="AD8" s="43"/>
      <c r="AE8" s="43" t="s">
        <v>23</v>
      </c>
      <c r="AF8" s="43" t="s">
        <v>23</v>
      </c>
      <c r="AG8" s="43"/>
      <c r="AH8" s="43" t="s">
        <v>23</v>
      </c>
      <c r="AI8" s="43" t="s">
        <v>23</v>
      </c>
      <c r="AJ8" s="44">
        <f t="shared" si="0"/>
        <v>0</v>
      </c>
      <c r="AK8" s="45"/>
      <c r="AL8" s="46">
        <f t="shared" si="1"/>
      </c>
      <c r="AM8" s="46"/>
    </row>
    <row r="9" ht="16.5" customHeight="1" spans="1:42" x14ac:dyDescent="0.25">
      <c r="A9" s="47" t="s">
        <v>24</v>
      </c>
      <c r="B9" s="40">
        <v>0</v>
      </c>
      <c r="C9" s="41" t="s">
        <v>25</v>
      </c>
      <c r="D9" s="42" t="s">
        <v>26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4">
        <f t="shared" si="0"/>
        <v>0</v>
      </c>
      <c r="AK9" s="45">
        <v>150000</v>
      </c>
      <c r="AL9" s="46">
        <f t="shared" si="1"/>
        <v>0</v>
      </c>
      <c r="AM9" s="46"/>
      <c r="AN9" s="1"/>
      <c r="AO9" s="48"/>
      <c r="AP9" s="48"/>
    </row>
    <row r="10" ht="16.5" customHeight="1" spans="1:42" x14ac:dyDescent="0.25">
      <c r="A10" s="47" t="s">
        <v>27</v>
      </c>
      <c r="B10" s="40">
        <v>0</v>
      </c>
      <c r="C10" s="41" t="s">
        <v>28</v>
      </c>
      <c r="D10" s="42" t="s">
        <v>29</v>
      </c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4">
        <f t="shared" si="0"/>
        <v>0</v>
      </c>
      <c r="AK10" s="45">
        <v>150000</v>
      </c>
      <c r="AL10" s="46">
        <f t="shared" si="1"/>
        <v>0</v>
      </c>
      <c r="AM10" s="46"/>
      <c r="AN10" s="1"/>
      <c r="AO10" s="48"/>
      <c r="AP10" s="48"/>
    </row>
    <row r="11" ht="16.5" customHeight="1" spans="1:39" x14ac:dyDescent="0.25">
      <c r="A11" s="47" t="s">
        <v>30</v>
      </c>
      <c r="B11" s="40">
        <v>0</v>
      </c>
      <c r="C11" s="41" t="s">
        <v>31</v>
      </c>
      <c r="D11" s="42" t="s">
        <v>32</v>
      </c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4">
        <f t="shared" si="0"/>
        <v>0</v>
      </c>
      <c r="AK11" s="45">
        <v>150000</v>
      </c>
      <c r="AL11" s="46">
        <f t="shared" si="1"/>
        <v>0</v>
      </c>
      <c r="AM11" s="46"/>
    </row>
    <row r="12" ht="16.5" customHeight="1" spans="1:39" x14ac:dyDescent="0.25">
      <c r="A12" s="47" t="s">
        <v>33</v>
      </c>
      <c r="B12" s="40">
        <v>0</v>
      </c>
      <c r="C12" s="41" t="s">
        <v>34</v>
      </c>
      <c r="D12" s="42" t="s">
        <v>35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4">
        <f t="shared" si="0"/>
        <v>0</v>
      </c>
      <c r="AK12" s="45">
        <v>150000</v>
      </c>
      <c r="AL12" s="46">
        <f t="shared" si="1"/>
        <v>0</v>
      </c>
      <c r="AM12" s="46"/>
    </row>
    <row r="13" ht="16.5" customHeight="1" spans="1:39" x14ac:dyDescent="0.25">
      <c r="A13" s="39" t="s">
        <v>36</v>
      </c>
      <c r="B13" s="40">
        <v>0</v>
      </c>
      <c r="C13" s="41" t="s">
        <v>37</v>
      </c>
      <c r="D13" s="42" t="s">
        <v>38</v>
      </c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4">
        <f t="shared" si="0"/>
        <v>0</v>
      </c>
      <c r="AK13" s="45">
        <v>150000</v>
      </c>
      <c r="AL13" s="46">
        <f t="shared" si="1"/>
        <v>0</v>
      </c>
      <c r="AM13" s="46"/>
    </row>
    <row r="14" ht="16.5" customHeight="1" spans="1:42" x14ac:dyDescent="0.25">
      <c r="A14" s="47" t="s">
        <v>39</v>
      </c>
      <c r="B14" s="40">
        <v>0</v>
      </c>
      <c r="C14" s="41" t="s">
        <v>40</v>
      </c>
      <c r="D14" s="42" t="s">
        <v>41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4">
        <f t="shared" si="0"/>
        <v>0</v>
      </c>
      <c r="AK14" s="45">
        <v>150000</v>
      </c>
      <c r="AL14" s="46">
        <f t="shared" si="1"/>
        <v>0</v>
      </c>
      <c r="AM14" s="46"/>
      <c r="AN14" s="1"/>
      <c r="AO14" s="48"/>
      <c r="AP14" s="48"/>
    </row>
    <row r="15" ht="16.5" customHeight="1" spans="1:39" x14ac:dyDescent="0.25">
      <c r="A15" s="47"/>
      <c r="B15" s="40" t="s">
        <v>23</v>
      </c>
      <c r="C15" s="41" t="s">
        <v>23</v>
      </c>
      <c r="D15" s="42" t="s">
        <v>23</v>
      </c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4">
        <f t="shared" si="0"/>
        <v>0</v>
      </c>
      <c r="AK15" s="45"/>
      <c r="AL15" s="46">
        <f t="shared" si="1"/>
      </c>
      <c r="AM15" s="46"/>
    </row>
    <row r="16" ht="16.5" customHeight="1" spans="1:39" x14ac:dyDescent="0.25">
      <c r="A16" s="39" t="s">
        <v>42</v>
      </c>
      <c r="B16" s="40"/>
      <c r="C16" s="41"/>
      <c r="D16" s="42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4">
        <f t="shared" si="0"/>
        <v>0</v>
      </c>
      <c r="AK16" s="45"/>
      <c r="AL16" s="46">
        <f t="shared" si="1"/>
      </c>
      <c r="AM16" s="46"/>
    </row>
    <row r="17" ht="16.5" customHeight="1" spans="1:42" x14ac:dyDescent="0.25">
      <c r="A17" s="49" t="s">
        <v>43</v>
      </c>
      <c r="B17" s="50" t="s">
        <v>44</v>
      </c>
      <c r="C17" s="51" t="s">
        <v>45</v>
      </c>
      <c r="D17" s="52" t="s">
        <v>46</v>
      </c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4">
        <f t="shared" si="0"/>
        <v>0</v>
      </c>
      <c r="AK17" s="45">
        <v>160000</v>
      </c>
      <c r="AL17" s="46">
        <f t="shared" si="1"/>
        <v>0</v>
      </c>
      <c r="AM17" s="46"/>
      <c r="AN17" s="1"/>
      <c r="AO17" s="48"/>
      <c r="AP17" s="48"/>
    </row>
    <row r="18" ht="16.5" customHeight="1" spans="1:42" x14ac:dyDescent="0.25">
      <c r="A18" s="49" t="s">
        <v>47</v>
      </c>
      <c r="B18" s="50" t="s">
        <v>48</v>
      </c>
      <c r="C18" s="51" t="s">
        <v>49</v>
      </c>
      <c r="D18" s="52">
        <v>0</v>
      </c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4">
        <f t="shared" si="0"/>
        <v>0</v>
      </c>
      <c r="AK18" s="45">
        <v>140000</v>
      </c>
      <c r="AL18" s="46">
        <f t="shared" si="1"/>
        <v>0</v>
      </c>
      <c r="AM18" s="46"/>
      <c r="AN18" s="1"/>
      <c r="AO18" s="48"/>
      <c r="AP18" s="48"/>
    </row>
    <row r="19" ht="16.5" customHeight="1" spans="1:42" x14ac:dyDescent="0.25">
      <c r="A19" s="49" t="s">
        <v>50</v>
      </c>
      <c r="B19" s="50" t="s">
        <v>51</v>
      </c>
      <c r="C19" s="51" t="s">
        <v>52</v>
      </c>
      <c r="D19" s="52">
        <v>0</v>
      </c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4">
        <f t="shared" si="0"/>
        <v>0</v>
      </c>
      <c r="AK19" s="45">
        <v>140000</v>
      </c>
      <c r="AL19" s="46">
        <f t="shared" si="1"/>
        <v>0</v>
      </c>
      <c r="AM19" s="46"/>
      <c r="AN19" s="1"/>
      <c r="AO19" s="48"/>
      <c r="AP19" s="48"/>
    </row>
    <row r="20" ht="16.5" customHeight="1" spans="1:42" x14ac:dyDescent="0.25">
      <c r="A20" s="49" t="s">
        <v>53</v>
      </c>
      <c r="B20" s="50" t="s">
        <v>54</v>
      </c>
      <c r="C20" s="51" t="s">
        <v>55</v>
      </c>
      <c r="D20" s="52" t="s">
        <v>46</v>
      </c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4">
        <f t="shared" si="0"/>
        <v>0</v>
      </c>
      <c r="AK20" s="45">
        <v>140000</v>
      </c>
      <c r="AL20" s="46">
        <f t="shared" si="1"/>
        <v>0</v>
      </c>
      <c r="AM20" s="46"/>
      <c r="AN20" s="1"/>
      <c r="AO20" s="48"/>
      <c r="AP20" s="48"/>
    </row>
    <row r="21" ht="16.5" customHeight="1" spans="1:42" x14ac:dyDescent="0.25">
      <c r="A21" s="49" t="s">
        <v>56</v>
      </c>
      <c r="B21" s="50" t="s">
        <v>57</v>
      </c>
      <c r="C21" s="51" t="s">
        <v>58</v>
      </c>
      <c r="D21" s="52" t="s">
        <v>46</v>
      </c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4">
        <f t="shared" si="0"/>
        <v>0</v>
      </c>
      <c r="AK21" s="45">
        <v>140000</v>
      </c>
      <c r="AL21" s="46">
        <f t="shared" si="1"/>
        <v>0</v>
      </c>
      <c r="AM21" s="46"/>
      <c r="AN21" s="1"/>
      <c r="AO21" s="48"/>
      <c r="AP21" s="48"/>
    </row>
    <row r="22" ht="16.5" customHeight="1" spans="1:42" x14ac:dyDescent="0.25">
      <c r="A22" s="49" t="s">
        <v>59</v>
      </c>
      <c r="B22" s="50" t="s">
        <v>60</v>
      </c>
      <c r="C22" s="51" t="s">
        <v>61</v>
      </c>
      <c r="D22" s="52">
        <v>0</v>
      </c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4">
        <f t="shared" si="0"/>
        <v>0</v>
      </c>
      <c r="AK22" s="45">
        <v>140000</v>
      </c>
      <c r="AL22" s="46">
        <f t="shared" si="1"/>
        <v>0</v>
      </c>
      <c r="AM22" s="46"/>
      <c r="AN22" s="1"/>
      <c r="AO22" s="48"/>
      <c r="AP22" s="48"/>
    </row>
    <row r="23" ht="16.5" customHeight="1" spans="1:42" x14ac:dyDescent="0.25">
      <c r="A23" s="49" t="s">
        <v>62</v>
      </c>
      <c r="B23" s="50" t="s">
        <v>63</v>
      </c>
      <c r="C23" s="51" t="s">
        <v>64</v>
      </c>
      <c r="D23" s="52" t="s">
        <v>65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4">
        <f t="shared" si="0"/>
        <v>0</v>
      </c>
      <c r="AK23" s="45">
        <v>160000</v>
      </c>
      <c r="AL23" s="46">
        <f t="shared" si="1"/>
        <v>0</v>
      </c>
      <c r="AM23" s="46"/>
      <c r="AN23" s="1"/>
      <c r="AO23" s="48"/>
      <c r="AP23" s="48"/>
    </row>
    <row r="24" ht="16.5" customHeight="1" spans="1:42" x14ac:dyDescent="0.25">
      <c r="A24" s="49" t="s">
        <v>66</v>
      </c>
      <c r="B24" s="50" t="s">
        <v>67</v>
      </c>
      <c r="C24" s="51" t="s">
        <v>68</v>
      </c>
      <c r="D24" s="52">
        <v>0</v>
      </c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4">
        <f t="shared" si="0"/>
        <v>0</v>
      </c>
      <c r="AK24" s="45">
        <v>140000</v>
      </c>
      <c r="AL24" s="46">
        <f t="shared" si="1"/>
        <v>0</v>
      </c>
      <c r="AM24" s="46"/>
      <c r="AN24" s="1"/>
      <c r="AO24" s="48"/>
      <c r="AP24" s="48"/>
    </row>
    <row r="25" ht="16.5" customHeight="1" spans="1:42" x14ac:dyDescent="0.25">
      <c r="A25" s="49" t="s">
        <v>69</v>
      </c>
      <c r="B25" s="50" t="s">
        <v>70</v>
      </c>
      <c r="C25" s="51" t="s">
        <v>71</v>
      </c>
      <c r="D25" s="52">
        <v>0</v>
      </c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4">
        <f t="shared" si="0"/>
        <v>0</v>
      </c>
      <c r="AK25" s="45">
        <v>160000</v>
      </c>
      <c r="AL25" s="46">
        <f t="shared" si="1"/>
        <v>0</v>
      </c>
      <c r="AM25" s="46"/>
      <c r="AN25" s="1"/>
      <c r="AO25" s="48"/>
      <c r="AP25" s="48"/>
    </row>
    <row r="26" ht="16.5" customHeight="1" spans="1:39" x14ac:dyDescent="0.25">
      <c r="A26" s="49" t="s">
        <v>72</v>
      </c>
      <c r="B26" s="50" t="s">
        <v>73</v>
      </c>
      <c r="C26" s="51" t="s">
        <v>74</v>
      </c>
      <c r="D26" s="52">
        <v>0</v>
      </c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4">
        <f t="shared" si="0"/>
        <v>0</v>
      </c>
      <c r="AK26" s="45">
        <v>160000</v>
      </c>
      <c r="AL26" s="46">
        <f t="shared" si="1"/>
        <v>0</v>
      </c>
      <c r="AM26" s="46"/>
    </row>
    <row r="27" ht="16.5" customHeight="1" spans="1:42" x14ac:dyDescent="0.25">
      <c r="A27" s="49" t="s">
        <v>75</v>
      </c>
      <c r="B27" s="50" t="s">
        <v>76</v>
      </c>
      <c r="C27" s="51" t="s">
        <v>77</v>
      </c>
      <c r="D27" s="52">
        <v>0</v>
      </c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4">
        <f t="shared" si="0"/>
        <v>0</v>
      </c>
      <c r="AK27" s="45">
        <v>140000</v>
      </c>
      <c r="AL27" s="46">
        <f t="shared" si="1"/>
        <v>0</v>
      </c>
      <c r="AM27" s="46"/>
      <c r="AN27" s="1"/>
      <c r="AO27" s="48"/>
      <c r="AP27" s="48"/>
    </row>
    <row r="28" ht="16.5" customHeight="1" spans="1:42" x14ac:dyDescent="0.25">
      <c r="A28" s="49" t="s">
        <v>78</v>
      </c>
      <c r="B28" s="50" t="s">
        <v>79</v>
      </c>
      <c r="C28" s="51" t="s">
        <v>80</v>
      </c>
      <c r="D28" s="52" t="s">
        <v>81</v>
      </c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4">
        <f>SUM(E28:AI28)</f>
        <v>0</v>
      </c>
      <c r="AK28" s="45">
        <v>160000</v>
      </c>
      <c r="AL28" s="46">
        <f>IF(ISERROR(AJ28*AK28),"",AJ28*AK28)</f>
        <v>0</v>
      </c>
      <c r="AM28" s="46"/>
      <c r="AN28" s="1"/>
      <c r="AO28" s="48"/>
      <c r="AP28" s="48"/>
    </row>
    <row r="29" ht="16.5" customHeight="1" spans="1:42" x14ac:dyDescent="0.25">
      <c r="A29" s="49" t="s">
        <v>82</v>
      </c>
      <c r="B29" s="50" t="s">
        <v>83</v>
      </c>
      <c r="C29" s="51" t="s">
        <v>84</v>
      </c>
      <c r="D29" s="52" t="s">
        <v>81</v>
      </c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4">
        <f t="shared" ref="AJ29:AJ31" si="2">SUM(E29:AI29)</f>
        <v>0</v>
      </c>
      <c r="AK29" s="45">
        <v>160000</v>
      </c>
      <c r="AL29" s="46">
        <f t="shared" ref="AL29:AL31" si="3">IF(ISERROR(AJ29*AK29),"",AJ29*AK29)</f>
        <v>0</v>
      </c>
      <c r="AM29" s="46"/>
      <c r="AN29" s="1"/>
      <c r="AO29" s="48"/>
      <c r="AP29" s="48"/>
    </row>
    <row r="30" ht="16.5" customHeight="1" spans="1:39" x14ac:dyDescent="0.25">
      <c r="A30" s="49" t="s">
        <v>85</v>
      </c>
      <c r="B30" s="50" t="s">
        <v>86</v>
      </c>
      <c r="C30" s="51" t="s">
        <v>87</v>
      </c>
      <c r="D30" s="52">
        <v>0</v>
      </c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4">
        <f t="shared" si="2"/>
        <v>0</v>
      </c>
      <c r="AK30" s="45">
        <v>140000</v>
      </c>
      <c r="AL30" s="46">
        <f t="shared" si="3"/>
        <v>0</v>
      </c>
      <c r="AM30" s="46"/>
    </row>
    <row r="31" ht="16.5" customHeight="1" spans="1:42" x14ac:dyDescent="0.25">
      <c r="A31" s="49" t="s">
        <v>88</v>
      </c>
      <c r="B31" s="50" t="s">
        <v>89</v>
      </c>
      <c r="C31" s="51" t="s">
        <v>90</v>
      </c>
      <c r="D31" s="52" t="s">
        <v>91</v>
      </c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4">
        <f t="shared" si="2"/>
        <v>0</v>
      </c>
      <c r="AK31" s="45">
        <v>160000</v>
      </c>
      <c r="AL31" s="46">
        <f t="shared" si="3"/>
        <v>0</v>
      </c>
      <c r="AM31" s="46"/>
      <c r="AN31" s="1"/>
      <c r="AO31" s="48"/>
      <c r="AP31" s="48"/>
    </row>
    <row r="32" ht="16.5" customHeight="1" spans="1:42" x14ac:dyDescent="0.25">
      <c r="A32" s="49" t="s">
        <v>92</v>
      </c>
      <c r="B32" s="50" t="s">
        <v>93</v>
      </c>
      <c r="C32" s="51" t="s">
        <v>94</v>
      </c>
      <c r="D32" s="52" t="s">
        <v>81</v>
      </c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4">
        <f>SUM(E32:AI32)</f>
        <v>0</v>
      </c>
      <c r="AK32" s="45">
        <v>160000</v>
      </c>
      <c r="AL32" s="46">
        <f>IF(ISERROR(AJ32*AK32),"",AJ32*AK32)</f>
        <v>0</v>
      </c>
      <c r="AM32" s="46"/>
      <c r="AN32" s="1"/>
      <c r="AO32" s="48"/>
      <c r="AP32" s="48"/>
    </row>
    <row r="33" ht="16.5" customHeight="1" spans="1:42" x14ac:dyDescent="0.25">
      <c r="A33" s="49" t="s">
        <v>95</v>
      </c>
      <c r="B33" s="50" t="s">
        <v>96</v>
      </c>
      <c r="C33" s="51" t="s">
        <v>97</v>
      </c>
      <c r="D33" s="52" t="s">
        <v>46</v>
      </c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4">
        <f t="shared" ref="AJ33:AJ34" si="4">SUM(E33:AI33)</f>
        <v>0</v>
      </c>
      <c r="AK33" s="45">
        <v>160000</v>
      </c>
      <c r="AL33" s="46">
        <f t="shared" ref="AL33:AL34" si="5">IF(ISERROR(AJ33*AK33),"",AJ33*AK33)</f>
        <v>0</v>
      </c>
      <c r="AM33" s="46"/>
      <c r="AN33" s="1"/>
      <c r="AO33" s="48"/>
      <c r="AP33" s="48"/>
    </row>
    <row r="34" ht="16.5" customHeight="1" spans="1:42" x14ac:dyDescent="0.25">
      <c r="A34" s="49" t="s">
        <v>98</v>
      </c>
      <c r="B34" s="50" t="s">
        <v>99</v>
      </c>
      <c r="C34" s="51" t="s">
        <v>100</v>
      </c>
      <c r="D34" s="52" t="s">
        <v>101</v>
      </c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4">
        <f t="shared" si="4"/>
        <v>0</v>
      </c>
      <c r="AK34" s="45">
        <v>140000</v>
      </c>
      <c r="AL34" s="46">
        <f t="shared" si="5"/>
        <v>0</v>
      </c>
      <c r="AM34" s="46"/>
      <c r="AN34" s="1"/>
      <c r="AO34" s="48"/>
      <c r="AP34" s="48"/>
    </row>
    <row r="35" ht="16.5" customHeight="1" spans="1:42" x14ac:dyDescent="0.25">
      <c r="A35" s="53" t="s">
        <v>102</v>
      </c>
      <c r="B35" s="50" t="s">
        <v>103</v>
      </c>
      <c r="C35" s="51" t="s">
        <v>104</v>
      </c>
      <c r="D35" s="52">
        <v>0</v>
      </c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4">
        <f>SUM(E35:AI35)</f>
        <v>0</v>
      </c>
      <c r="AK35" s="45">
        <v>140000</v>
      </c>
      <c r="AL35" s="46">
        <f>IF(ISERROR(AJ35*AK35),"",AJ35*AK35)</f>
        <v>0</v>
      </c>
      <c r="AM35" s="54"/>
      <c r="AN35" s="1"/>
      <c r="AO35" s="55"/>
      <c r="AP35" s="55"/>
    </row>
    <row r="36" ht="16.5" customHeight="1" spans="1:42" x14ac:dyDescent="0.25">
      <c r="A36" s="49" t="s">
        <v>105</v>
      </c>
      <c r="B36" s="50" t="s">
        <v>106</v>
      </c>
      <c r="C36" s="51" t="s">
        <v>107</v>
      </c>
      <c r="D36" s="52">
        <v>0</v>
      </c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4">
        <f t="shared" si="0"/>
        <v>0</v>
      </c>
      <c r="AK36" s="45">
        <v>140000</v>
      </c>
      <c r="AL36" s="46">
        <f t="shared" si="1"/>
        <v>0</v>
      </c>
      <c r="AM36" s="46"/>
      <c r="AN36" s="1"/>
      <c r="AO36" s="48"/>
      <c r="AP36" s="48"/>
    </row>
    <row r="37" ht="16.5" customHeight="1" spans="1:39" x14ac:dyDescent="0.25">
      <c r="A37" s="49" t="s">
        <v>108</v>
      </c>
      <c r="B37" s="50" t="s">
        <v>109</v>
      </c>
      <c r="C37" s="51" t="s">
        <v>110</v>
      </c>
      <c r="D37" s="52" t="s">
        <v>46</v>
      </c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4">
        <f t="shared" si="0"/>
        <v>0</v>
      </c>
      <c r="AK37" s="45">
        <v>140000</v>
      </c>
      <c r="AL37" s="46">
        <f t="shared" si="1"/>
        <v>0</v>
      </c>
      <c r="AM37" s="46"/>
    </row>
    <row r="38" ht="16.5" customHeight="1" spans="1:42" x14ac:dyDescent="0.25">
      <c r="A38" s="49" t="s">
        <v>111</v>
      </c>
      <c r="B38" s="50" t="s">
        <v>112</v>
      </c>
      <c r="C38" s="51" t="s">
        <v>113</v>
      </c>
      <c r="D38" s="52" t="s">
        <v>46</v>
      </c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4">
        <f>SUM(E38:AI38)</f>
        <v>0</v>
      </c>
      <c r="AK38" s="45">
        <v>160000</v>
      </c>
      <c r="AL38" s="46">
        <f>IF(ISERROR(AJ38*AK38),"",AJ38*AK38)</f>
        <v>0</v>
      </c>
      <c r="AM38" s="46"/>
      <c r="AN38" s="1"/>
      <c r="AO38" s="48"/>
      <c r="AP38" s="48"/>
    </row>
    <row r="39" ht="16.5" customHeight="1" spans="1:42" x14ac:dyDescent="0.25">
      <c r="A39" s="49" t="s">
        <v>114</v>
      </c>
      <c r="B39" s="50" t="s">
        <v>115</v>
      </c>
      <c r="C39" s="51" t="s">
        <v>116</v>
      </c>
      <c r="D39" s="52">
        <v>0</v>
      </c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4">
        <f t="shared" ref="AJ39:AJ40" si="6">SUM(E39:AI39)</f>
        <v>0</v>
      </c>
      <c r="AK39" s="45">
        <v>140000</v>
      </c>
      <c r="AL39" s="46">
        <f t="shared" ref="AL39:AL40" si="7">IF(ISERROR(AJ39*AK39),"",AJ39*AK39)</f>
        <v>0</v>
      </c>
      <c r="AM39" s="46"/>
      <c r="AN39" s="1"/>
      <c r="AO39" s="48"/>
      <c r="AP39" s="48"/>
    </row>
    <row r="40" ht="16.5" customHeight="1" spans="1:42" x14ac:dyDescent="0.25">
      <c r="A40" s="49" t="s">
        <v>117</v>
      </c>
      <c r="B40" s="50" t="s">
        <v>118</v>
      </c>
      <c r="C40" s="51" t="s">
        <v>119</v>
      </c>
      <c r="D40" s="52">
        <v>0</v>
      </c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4">
        <f t="shared" si="6"/>
        <v>0</v>
      </c>
      <c r="AK40" s="45">
        <v>140000</v>
      </c>
      <c r="AL40" s="46">
        <f t="shared" si="7"/>
        <v>0</v>
      </c>
      <c r="AM40" s="46"/>
      <c r="AN40" s="1"/>
      <c r="AO40" s="48"/>
      <c r="AP40" s="48"/>
    </row>
    <row r="41" ht="16.5" customHeight="1" spans="1:42" x14ac:dyDescent="0.25">
      <c r="A41" s="49" t="s">
        <v>120</v>
      </c>
      <c r="B41" s="50" t="s">
        <v>121</v>
      </c>
      <c r="C41" s="51" t="s">
        <v>122</v>
      </c>
      <c r="D41" s="52" t="s">
        <v>46</v>
      </c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4">
        <f t="shared" si="0"/>
        <v>0</v>
      </c>
      <c r="AK41" s="45">
        <v>160000</v>
      </c>
      <c r="AL41" s="46">
        <f t="shared" si="1"/>
        <v>0</v>
      </c>
      <c r="AM41" s="46"/>
      <c r="AN41" s="1"/>
      <c r="AO41" s="48"/>
      <c r="AP41" s="48"/>
    </row>
    <row r="42" ht="16.5" customHeight="1" spans="1:39" x14ac:dyDescent="0.25">
      <c r="A42" s="49" t="s">
        <v>123</v>
      </c>
      <c r="B42" s="50" t="s">
        <v>124</v>
      </c>
      <c r="C42" s="51" t="s">
        <v>125</v>
      </c>
      <c r="D42" s="52" t="s">
        <v>126</v>
      </c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4">
        <f t="shared" si="0"/>
        <v>0</v>
      </c>
      <c r="AK42" s="45">
        <v>140000</v>
      </c>
      <c r="AL42" s="46">
        <f t="shared" si="1"/>
        <v>0</v>
      </c>
      <c r="AM42" s="46"/>
    </row>
    <row r="43" ht="16.5" customHeight="1" spans="1:39" x14ac:dyDescent="0.25">
      <c r="A43" s="49" t="s">
        <v>127</v>
      </c>
      <c r="B43" s="50" t="s">
        <v>128</v>
      </c>
      <c r="C43" s="51" t="s">
        <v>129</v>
      </c>
      <c r="D43" s="52" t="s">
        <v>46</v>
      </c>
      <c r="E43" s="43" t="s">
        <v>23</v>
      </c>
      <c r="F43" s="43" t="s">
        <v>23</v>
      </c>
      <c r="G43" s="43"/>
      <c r="H43" s="43"/>
      <c r="I43" s="43"/>
      <c r="J43" s="43"/>
      <c r="K43" s="43"/>
      <c r="L43" s="43" t="s">
        <v>23</v>
      </c>
      <c r="M43" s="43" t="s">
        <v>23</v>
      </c>
      <c r="N43" s="43"/>
      <c r="O43" s="43" t="s">
        <v>23</v>
      </c>
      <c r="P43" s="43"/>
      <c r="Q43" s="43"/>
      <c r="R43" s="43" t="s">
        <v>23</v>
      </c>
      <c r="S43" s="43"/>
      <c r="T43" s="43"/>
      <c r="U43" s="43" t="s">
        <v>23</v>
      </c>
      <c r="V43" s="43" t="s">
        <v>23</v>
      </c>
      <c r="W43" s="43"/>
      <c r="X43" s="43" t="s">
        <v>23</v>
      </c>
      <c r="Y43" s="43"/>
      <c r="Z43" s="43"/>
      <c r="AA43" s="43" t="s">
        <v>23</v>
      </c>
      <c r="AB43" s="43"/>
      <c r="AC43" s="43" t="s">
        <v>23</v>
      </c>
      <c r="AD43" s="43"/>
      <c r="AE43" s="43" t="s">
        <v>23</v>
      </c>
      <c r="AF43" s="43" t="s">
        <v>23</v>
      </c>
      <c r="AG43" s="43" t="s">
        <v>23</v>
      </c>
      <c r="AH43" s="43" t="s">
        <v>23</v>
      </c>
      <c r="AI43" s="43" t="s">
        <v>23</v>
      </c>
      <c r="AJ43" s="44">
        <f t="shared" si="0"/>
        <v>0</v>
      </c>
      <c r="AK43" s="45">
        <v>140000</v>
      </c>
      <c r="AL43" s="46">
        <f t="shared" si="1"/>
        <v>0</v>
      </c>
      <c r="AM43" s="46"/>
    </row>
    <row r="44" ht="16.5" customHeight="1" spans="1:42" x14ac:dyDescent="0.25">
      <c r="A44" s="49" t="s">
        <v>130</v>
      </c>
      <c r="B44" s="50" t="s">
        <v>131</v>
      </c>
      <c r="C44" s="51" t="s">
        <v>132</v>
      </c>
      <c r="D44" s="52" t="s">
        <v>46</v>
      </c>
      <c r="E44" s="43"/>
      <c r="F44" s="43" t="s">
        <v>23</v>
      </c>
      <c r="G44" s="43"/>
      <c r="H44" s="43"/>
      <c r="I44" s="43"/>
      <c r="J44" s="43"/>
      <c r="K44" s="43"/>
      <c r="L44" s="43"/>
      <c r="M44" s="43" t="s">
        <v>23</v>
      </c>
      <c r="N44" s="43"/>
      <c r="O44" s="43" t="s">
        <v>23</v>
      </c>
      <c r="P44" s="43"/>
      <c r="Q44" s="43"/>
      <c r="R44" s="43" t="s">
        <v>23</v>
      </c>
      <c r="S44" s="43"/>
      <c r="T44" s="43"/>
      <c r="U44" s="43" t="s">
        <v>23</v>
      </c>
      <c r="V44" s="43" t="s">
        <v>23</v>
      </c>
      <c r="W44" s="43"/>
      <c r="X44" s="43" t="s">
        <v>23</v>
      </c>
      <c r="Y44" s="43"/>
      <c r="Z44" s="43"/>
      <c r="AA44" s="43" t="s">
        <v>23</v>
      </c>
      <c r="AB44" s="43"/>
      <c r="AC44" s="43" t="s">
        <v>23</v>
      </c>
      <c r="AD44" s="43"/>
      <c r="AE44" s="43" t="s">
        <v>23</v>
      </c>
      <c r="AF44" s="43" t="s">
        <v>23</v>
      </c>
      <c r="AG44" s="43" t="s">
        <v>23</v>
      </c>
      <c r="AH44" s="43" t="s">
        <v>23</v>
      </c>
      <c r="AI44" s="43"/>
      <c r="AJ44" s="44">
        <f t="shared" si="0"/>
        <v>0</v>
      </c>
      <c r="AK44" s="45">
        <v>140000</v>
      </c>
      <c r="AL44" s="46">
        <f t="shared" si="1"/>
        <v>0</v>
      </c>
      <c r="AM44" s="46"/>
      <c r="AN44" s="1"/>
      <c r="AO44" s="48"/>
      <c r="AP44" s="48"/>
    </row>
    <row r="45" ht="16.5" customHeight="1" spans="1:42" x14ac:dyDescent="0.25">
      <c r="A45" s="49" t="s">
        <v>133</v>
      </c>
      <c r="B45" s="50" t="s">
        <v>134</v>
      </c>
      <c r="C45" s="51" t="s">
        <v>135</v>
      </c>
      <c r="D45" s="52" t="s">
        <v>46</v>
      </c>
      <c r="E45" s="43"/>
      <c r="F45" s="43"/>
      <c r="G45" s="43"/>
      <c r="H45" s="43"/>
      <c r="I45" s="43"/>
      <c r="J45" s="43"/>
      <c r="K45" s="43"/>
      <c r="L45" s="43"/>
      <c r="M45" s="43" t="s">
        <v>23</v>
      </c>
      <c r="N45" s="43"/>
      <c r="O45" s="43" t="s">
        <v>23</v>
      </c>
      <c r="P45" s="43"/>
      <c r="Q45" s="43"/>
      <c r="R45" s="43" t="s">
        <v>23</v>
      </c>
      <c r="S45" s="43"/>
      <c r="T45" s="43"/>
      <c r="U45" s="43" t="s">
        <v>23</v>
      </c>
      <c r="V45" s="43" t="s">
        <v>23</v>
      </c>
      <c r="W45" s="43"/>
      <c r="X45" s="43" t="s">
        <v>23</v>
      </c>
      <c r="Y45" s="43"/>
      <c r="Z45" s="43"/>
      <c r="AA45" s="43" t="s">
        <v>23</v>
      </c>
      <c r="AB45" s="43"/>
      <c r="AC45" s="43" t="s">
        <v>23</v>
      </c>
      <c r="AD45" s="43"/>
      <c r="AE45" s="43"/>
      <c r="AF45" s="43" t="s">
        <v>23</v>
      </c>
      <c r="AG45" s="43" t="s">
        <v>23</v>
      </c>
      <c r="AH45" s="43" t="s">
        <v>23</v>
      </c>
      <c r="AI45" s="43"/>
      <c r="AJ45" s="44">
        <f t="shared" si="0"/>
        <v>0</v>
      </c>
      <c r="AK45" s="45">
        <v>160000</v>
      </c>
      <c r="AL45" s="46">
        <f t="shared" si="1"/>
        <v>0</v>
      </c>
      <c r="AM45" s="46"/>
      <c r="AN45" s="1"/>
      <c r="AO45" s="48"/>
      <c r="AP45" s="48"/>
    </row>
    <row r="46" ht="16.5" customHeight="1" spans="1:42" x14ac:dyDescent="0.25">
      <c r="A46" s="49" t="s">
        <v>136</v>
      </c>
      <c r="B46" s="50" t="s">
        <v>137</v>
      </c>
      <c r="C46" s="51" t="s">
        <v>138</v>
      </c>
      <c r="D46" s="52" t="s">
        <v>46</v>
      </c>
      <c r="E46" s="43"/>
      <c r="F46" s="43"/>
      <c r="G46" s="43"/>
      <c r="H46" s="43"/>
      <c r="I46" s="43"/>
      <c r="J46" s="43"/>
      <c r="K46" s="43"/>
      <c r="L46" s="43"/>
      <c r="M46" s="43" t="s">
        <v>23</v>
      </c>
      <c r="N46" s="43"/>
      <c r="O46" s="43" t="s">
        <v>23</v>
      </c>
      <c r="P46" s="43"/>
      <c r="Q46" s="43"/>
      <c r="R46" s="43"/>
      <c r="S46" s="43"/>
      <c r="T46" s="43"/>
      <c r="U46" s="43"/>
      <c r="V46" s="43" t="s">
        <v>23</v>
      </c>
      <c r="W46" s="43"/>
      <c r="X46" s="43" t="s">
        <v>23</v>
      </c>
      <c r="Y46" s="43"/>
      <c r="Z46" s="43"/>
      <c r="AA46" s="43" t="s">
        <v>23</v>
      </c>
      <c r="AB46" s="43"/>
      <c r="AC46" s="43"/>
      <c r="AD46" s="43"/>
      <c r="AE46" s="43"/>
      <c r="AF46" s="43" t="s">
        <v>23</v>
      </c>
      <c r="AG46" s="43" t="s">
        <v>23</v>
      </c>
      <c r="AH46" s="43" t="s">
        <v>23</v>
      </c>
      <c r="AI46" s="43"/>
      <c r="AJ46" s="44">
        <f t="shared" si="0"/>
        <v>0</v>
      </c>
      <c r="AK46" s="45">
        <v>160000</v>
      </c>
      <c r="AL46" s="46">
        <f t="shared" si="1"/>
        <v>0</v>
      </c>
      <c r="AM46" s="46"/>
      <c r="AN46" s="1"/>
      <c r="AO46" s="48"/>
      <c r="AP46" s="48"/>
    </row>
    <row r="47" ht="16.5" customHeight="1" spans="1:42" x14ac:dyDescent="0.25">
      <c r="A47" s="49" t="s">
        <v>139</v>
      </c>
      <c r="B47" s="50" t="s">
        <v>140</v>
      </c>
      <c r="C47" s="51" t="s">
        <v>141</v>
      </c>
      <c r="D47" s="52" t="s">
        <v>46</v>
      </c>
      <c r="E47" s="43"/>
      <c r="F47" s="43"/>
      <c r="G47" s="43" t="s">
        <v>23</v>
      </c>
      <c r="H47" s="43"/>
      <c r="I47" s="43"/>
      <c r="J47" s="43"/>
      <c r="K47" s="43"/>
      <c r="L47" s="43"/>
      <c r="M47" s="43"/>
      <c r="N47" s="43" t="s">
        <v>23</v>
      </c>
      <c r="O47" s="43" t="s">
        <v>23</v>
      </c>
      <c r="P47" s="43"/>
      <c r="Q47" s="43"/>
      <c r="R47" s="43"/>
      <c r="S47" s="43"/>
      <c r="T47" s="43"/>
      <c r="U47" s="43" t="s">
        <v>23</v>
      </c>
      <c r="V47" s="43"/>
      <c r="W47" s="43"/>
      <c r="X47" s="43" t="s">
        <v>23</v>
      </c>
      <c r="Y47" s="43"/>
      <c r="Z47" s="43"/>
      <c r="AA47" s="43" t="s">
        <v>23</v>
      </c>
      <c r="AB47" s="43"/>
      <c r="AC47" s="43" t="s">
        <v>23</v>
      </c>
      <c r="AD47" s="43"/>
      <c r="AE47" s="43"/>
      <c r="AF47" s="43"/>
      <c r="AG47" s="43"/>
      <c r="AH47" s="43"/>
      <c r="AI47" s="43"/>
      <c r="AJ47" s="44">
        <f t="shared" si="0"/>
        <v>0</v>
      </c>
      <c r="AK47" s="45">
        <v>140000</v>
      </c>
      <c r="AL47" s="46">
        <f t="shared" si="1"/>
        <v>0</v>
      </c>
      <c r="AM47" s="46"/>
      <c r="AN47" s="1"/>
      <c r="AO47" s="48"/>
      <c r="AP47" s="48"/>
    </row>
    <row r="48" ht="16.5" customHeight="1" spans="1:42" x14ac:dyDescent="0.25">
      <c r="A48" s="47"/>
      <c r="B48" s="40"/>
      <c r="C48" s="41"/>
      <c r="D48" s="42"/>
      <c r="E48" s="43"/>
      <c r="F48" s="43"/>
      <c r="G48" s="43" t="s">
        <v>23</v>
      </c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 t="s">
        <v>23</v>
      </c>
      <c r="AB48" s="43"/>
      <c r="AC48" s="43"/>
      <c r="AD48" s="43"/>
      <c r="AE48" s="43"/>
      <c r="AF48" s="43"/>
      <c r="AG48" s="43"/>
      <c r="AH48" s="43"/>
      <c r="AI48" s="43"/>
      <c r="AJ48" s="44">
        <f t="shared" si="0"/>
        <v>0</v>
      </c>
      <c r="AK48" s="45"/>
      <c r="AL48" s="46">
        <f t="shared" si="1"/>
      </c>
      <c r="AM48" s="46"/>
      <c r="AN48" s="1"/>
      <c r="AO48" s="48"/>
      <c r="AP48" s="48"/>
    </row>
    <row r="49" ht="16.5" customHeight="1" spans="1:39" x14ac:dyDescent="0.25">
      <c r="A49" s="47"/>
      <c r="B49" s="40"/>
      <c r="C49" s="41"/>
      <c r="D49" s="42"/>
      <c r="E49" s="56"/>
      <c r="F49" s="43"/>
      <c r="G49" s="56"/>
      <c r="H49" s="56"/>
      <c r="I49" s="43"/>
      <c r="J49" s="56"/>
      <c r="K49" s="43"/>
      <c r="L49" s="43"/>
      <c r="M49" s="43"/>
      <c r="N49" s="56"/>
      <c r="O49" s="56"/>
      <c r="P49" s="56"/>
      <c r="Q49" s="43"/>
      <c r="R49" s="43"/>
      <c r="S49" s="56"/>
      <c r="T49" s="56"/>
      <c r="U49" s="43"/>
      <c r="V49" s="56"/>
      <c r="W49" s="43"/>
      <c r="X49" s="43"/>
      <c r="Y49" s="43"/>
      <c r="Z49" s="56"/>
      <c r="AA49" s="56"/>
      <c r="AB49" s="43"/>
      <c r="AC49" s="56"/>
      <c r="AD49" s="56"/>
      <c r="AE49" s="43"/>
      <c r="AF49" s="43"/>
      <c r="AG49" s="56"/>
      <c r="AH49" s="43"/>
      <c r="AI49" s="43"/>
      <c r="AJ49" s="44">
        <f t="shared" si="0"/>
        <v>0</v>
      </c>
      <c r="AK49" s="45"/>
      <c r="AL49" s="46">
        <f t="shared" si="1"/>
      </c>
      <c r="AM49" s="46"/>
    </row>
    <row r="50" ht="16.5" customHeight="1" spans="1:39" x14ac:dyDescent="0.25">
      <c r="A50" s="57" t="s">
        <v>142</v>
      </c>
      <c r="B50" s="58"/>
      <c r="C50" s="58"/>
      <c r="D50" s="59"/>
      <c r="E50" s="60">
        <f t="shared" ref="E50:AJ50" si="8">SUM(E7:E49)</f>
        <v>0</v>
      </c>
      <c r="F50" s="60">
        <f t="shared" si="8"/>
        <v>0</v>
      </c>
      <c r="G50" s="60">
        <f t="shared" si="8"/>
        <v>0</v>
      </c>
      <c r="H50" s="60">
        <f t="shared" si="8"/>
        <v>0</v>
      </c>
      <c r="I50" s="60">
        <f t="shared" si="8"/>
        <v>0</v>
      </c>
      <c r="J50" s="60">
        <f t="shared" si="8"/>
        <v>0</v>
      </c>
      <c r="K50" s="60">
        <f t="shared" si="8"/>
        <v>0</v>
      </c>
      <c r="L50" s="60">
        <f t="shared" si="8"/>
        <v>0</v>
      </c>
      <c r="M50" s="60">
        <f t="shared" si="8"/>
        <v>0</v>
      </c>
      <c r="N50" s="60">
        <f t="shared" si="8"/>
        <v>0</v>
      </c>
      <c r="O50" s="60">
        <f t="shared" si="8"/>
        <v>0</v>
      </c>
      <c r="P50" s="60">
        <f t="shared" si="8"/>
        <v>0</v>
      </c>
      <c r="Q50" s="60">
        <f t="shared" si="8"/>
        <v>0</v>
      </c>
      <c r="R50" s="60">
        <f t="shared" si="8"/>
        <v>0</v>
      </c>
      <c r="S50" s="60">
        <f t="shared" si="8"/>
        <v>0</v>
      </c>
      <c r="T50" s="60">
        <f t="shared" si="8"/>
        <v>0</v>
      </c>
      <c r="U50" s="60">
        <f t="shared" si="8"/>
        <v>0</v>
      </c>
      <c r="V50" s="60">
        <f t="shared" si="8"/>
        <v>0</v>
      </c>
      <c r="W50" s="60">
        <f t="shared" si="8"/>
        <v>0</v>
      </c>
      <c r="X50" s="60">
        <f t="shared" si="8"/>
        <v>0</v>
      </c>
      <c r="Y50" s="60">
        <f t="shared" si="8"/>
        <v>0</v>
      </c>
      <c r="Z50" s="60">
        <f t="shared" si="8"/>
        <v>0</v>
      </c>
      <c r="AA50" s="60">
        <f t="shared" si="8"/>
        <v>0</v>
      </c>
      <c r="AB50" s="60">
        <f t="shared" si="8"/>
        <v>0</v>
      </c>
      <c r="AC50" s="60">
        <f t="shared" si="8"/>
        <v>0</v>
      </c>
      <c r="AD50" s="60">
        <f t="shared" si="8"/>
        <v>0</v>
      </c>
      <c r="AE50" s="60">
        <f t="shared" si="8"/>
        <v>0</v>
      </c>
      <c r="AF50" s="60">
        <f t="shared" si="8"/>
        <v>0</v>
      </c>
      <c r="AG50" s="60">
        <f t="shared" si="8"/>
        <v>0</v>
      </c>
      <c r="AH50" s="60">
        <f t="shared" si="8"/>
        <v>0</v>
      </c>
      <c r="AI50" s="60">
        <f t="shared" si="8"/>
        <v>0</v>
      </c>
      <c r="AJ50" s="61">
        <f t="shared" si="8"/>
        <v>0</v>
      </c>
      <c r="AK50" s="62"/>
      <c r="AL50" s="63">
        <f>SUM(AL7:AL49)</f>
        <v>0</v>
      </c>
      <c r="AM50" s="63"/>
    </row>
    <row r="51" ht="16.5" customHeight="1" x14ac:dyDescent="0.25"/>
    <row r="52" ht="16.5" customHeight="1" spans="1:38" x14ac:dyDescent="0.25">
      <c r="D52" s="64" t="s">
        <v>143</v>
      </c>
      <c r="E52" s="65">
        <f t="shared" ref="E52:AF52" si="9">SUM(E9:E16)</f>
        <v>0</v>
      </c>
      <c r="F52" s="65">
        <f t="shared" si="9"/>
        <v>0</v>
      </c>
      <c r="G52" s="65">
        <f t="shared" si="9"/>
        <v>0</v>
      </c>
      <c r="H52" s="65">
        <f t="shared" si="9"/>
        <v>0</v>
      </c>
      <c r="I52" s="65">
        <f t="shared" si="9"/>
        <v>0</v>
      </c>
      <c r="J52" s="65">
        <f t="shared" si="9"/>
        <v>0</v>
      </c>
      <c r="K52" s="65">
        <f t="shared" si="9"/>
        <v>0</v>
      </c>
      <c r="L52" s="65">
        <f t="shared" si="9"/>
        <v>0</v>
      </c>
      <c r="M52" s="65">
        <f t="shared" si="9"/>
        <v>0</v>
      </c>
      <c r="N52" s="65">
        <f t="shared" si="9"/>
        <v>0</v>
      </c>
      <c r="O52" s="65">
        <f t="shared" si="9"/>
        <v>0</v>
      </c>
      <c r="P52" s="65">
        <f t="shared" si="9"/>
        <v>0</v>
      </c>
      <c r="Q52" s="65">
        <f t="shared" si="9"/>
        <v>0</v>
      </c>
      <c r="R52" s="65">
        <f t="shared" si="9"/>
        <v>0</v>
      </c>
      <c r="S52" s="65">
        <f t="shared" si="9"/>
        <v>0</v>
      </c>
      <c r="T52" s="65">
        <f t="shared" si="9"/>
        <v>0</v>
      </c>
      <c r="U52" s="65">
        <f t="shared" si="9"/>
        <v>0</v>
      </c>
      <c r="V52" s="65">
        <f t="shared" si="9"/>
        <v>0</v>
      </c>
      <c r="W52" s="65">
        <f t="shared" si="9"/>
        <v>0</v>
      </c>
      <c r="X52" s="65">
        <f t="shared" si="9"/>
        <v>0</v>
      </c>
      <c r="Y52" s="65">
        <f t="shared" si="9"/>
        <v>0</v>
      </c>
      <c r="Z52" s="65">
        <f t="shared" si="9"/>
        <v>0</v>
      </c>
      <c r="AA52" s="65">
        <f t="shared" si="9"/>
        <v>0</v>
      </c>
      <c r="AB52" s="65">
        <f t="shared" si="9"/>
        <v>0</v>
      </c>
      <c r="AC52" s="65">
        <f t="shared" si="9"/>
        <v>0</v>
      </c>
      <c r="AD52" s="65">
        <f t="shared" si="9"/>
        <v>0</v>
      </c>
      <c r="AE52" s="65">
        <f t="shared" si="9"/>
        <v>0</v>
      </c>
      <c r="AF52" s="65">
        <f t="shared" si="9"/>
        <v>0</v>
      </c>
      <c r="AG52" s="65">
        <f>SUM(AG9:AG16)</f>
        <v>0</v>
      </c>
      <c r="AH52" s="65">
        <f t="shared" ref="AH52:AI52" si="10">SUM(AH9:AH16)</f>
        <v>0</v>
      </c>
      <c r="AI52" s="65">
        <f t="shared" si="10"/>
        <v>0</v>
      </c>
      <c r="AJ52" s="61">
        <f>SUM(E52:AI52)</f>
        <v>0</v>
      </c>
      <c r="AK52" s="62"/>
      <c r="AL52" s="63">
        <f>SUM(AL9:AL15)</f>
        <v>0</v>
      </c>
    </row>
    <row r="53" ht="16.5" customHeight="1" x14ac:dyDescent="0.25"/>
    <row r="54" ht="16.5" customHeight="1" spans="1:27" x14ac:dyDescent="0.25">
      <c r="AA54" s="66"/>
    </row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spans="1:1" x14ac:dyDescent="0.25">
      <c r="A62" s="67" t="s">
        <v>144</v>
      </c>
    </row>
    <row r="63" ht="16.5" customHeight="1" spans="1:1" x14ac:dyDescent="0.25">
      <c r="A63" s="67" t="s">
        <v>145</v>
      </c>
    </row>
    <row r="64" ht="16.5" customHeight="1" spans="1:1" x14ac:dyDescent="0.25">
      <c r="A64" s="67" t="s">
        <v>146</v>
      </c>
    </row>
    <row r="65" ht="16.5" customHeight="1" spans="1:1" x14ac:dyDescent="0.25">
      <c r="A65" s="67" t="s">
        <v>147</v>
      </c>
    </row>
    <row r="66" ht="16.5" customHeight="1" spans="1:1" x14ac:dyDescent="0.25">
      <c r="A66" s="67" t="s">
        <v>148</v>
      </c>
    </row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</sheetData>
  <mergeCells count="17">
    <mergeCell ref="A1:AM1"/>
    <mergeCell ref="A2:B3"/>
    <mergeCell ref="C2:D3"/>
    <mergeCell ref="AH2:AJ2"/>
    <mergeCell ref="AL2:AM3"/>
    <mergeCell ref="AH3:AJ3"/>
    <mergeCell ref="AK2:AK3"/>
    <mergeCell ref="E4:AI4"/>
    <mergeCell ref="A4:A6"/>
    <mergeCell ref="C4:C6"/>
    <mergeCell ref="D4:D6"/>
    <mergeCell ref="AJ4:AJ6"/>
    <mergeCell ref="AK4:AK6"/>
    <mergeCell ref="AL4:AL6"/>
    <mergeCell ref="AM4:AM6"/>
    <mergeCell ref="AO5:AP6"/>
    <mergeCell ref="A50:D50"/>
  </mergeCells>
  <printOptions horizontalCentered="1"/>
  <pageMargins left="0.7086614173228347" right="0.3937007874015748" top="0.5905511811023623" bottom="0.3937007874015748" header="0.31496062992125984" footer="0.31496062992125984"/>
  <pageSetup paperSize="9" orientation="landscape" horizontalDpi="4294967295" verticalDpi="4294967295" scale="6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세대청소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사냥 더위</dc:creator>
  <cp:lastModifiedBy>사냥 더위</cp:lastModifiedBy>
  <dcterms:created xsi:type="dcterms:W3CDTF">2026-08-01T06:59:52Z</dcterms:created>
  <dcterms:modified xsi:type="dcterms:W3CDTF">2026-08-01T07:05:19Z</dcterms:modified>
</cp:coreProperties>
</file>