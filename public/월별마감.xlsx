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Antigravity\TEst\Clearing\public\"/>
    </mc:Choice>
  </mc:AlternateContent>
  <bookViews>
    <workbookView xWindow="0" yWindow="0" windowWidth="28545" windowHeight="11820" tabRatio="500" activeTab="2"/>
  </bookViews>
  <sheets>
    <sheet name="4월정산" sheetId="1" r:id="rId1"/>
    <sheet name="일별공수" sheetId="6" r:id="rId2"/>
    <sheet name="청소" sheetId="9" r:id="rId3"/>
  </sheets>
  <definedNames>
    <definedName name="_xlnm._FilterDatabase" localSheetId="1" hidden="1">일별공수!#REF!</definedName>
    <definedName name="_xlnm._FilterDatabase" localSheetId="2" hidden="1">청소!$A$2:$I$83</definedName>
    <definedName name="_xlnm.Print_Area" localSheetId="0">'4월정산'!#REF!</definedName>
  </definedNames>
  <calcPr calcId="162913"/>
</workbook>
</file>

<file path=xl/calcChain.xml><?xml version="1.0" encoding="utf-8"?>
<calcChain xmlns="http://schemas.openxmlformats.org/spreadsheetml/2006/main">
  <c r="M83" i="9" l="1"/>
  <c r="K83" i="9"/>
  <c r="L83" i="9" s="1"/>
  <c r="J83" i="9"/>
  <c r="I83" i="9"/>
  <c r="M82" i="9"/>
  <c r="K82" i="9"/>
  <c r="L82" i="9" s="1"/>
  <c r="J82" i="9"/>
  <c r="I82" i="9"/>
  <c r="M81" i="9"/>
  <c r="K81" i="9"/>
  <c r="L81" i="9" s="1"/>
  <c r="J81" i="9"/>
  <c r="I81" i="9"/>
  <c r="M80" i="9"/>
  <c r="L80" i="9"/>
  <c r="K80" i="9"/>
  <c r="J80" i="9"/>
  <c r="I80" i="9"/>
  <c r="M79" i="9"/>
  <c r="L79" i="9"/>
  <c r="K79" i="9"/>
  <c r="J79" i="9"/>
  <c r="I79" i="9"/>
  <c r="M78" i="9"/>
  <c r="L78" i="9"/>
  <c r="K78" i="9"/>
  <c r="J78" i="9"/>
  <c r="I78" i="9"/>
  <c r="M77" i="9"/>
  <c r="K77" i="9"/>
  <c r="L77" i="9" s="1"/>
  <c r="J77" i="9"/>
  <c r="I77" i="9"/>
  <c r="M76" i="9"/>
  <c r="K76" i="9"/>
  <c r="L76" i="9" s="1"/>
  <c r="J76" i="9"/>
  <c r="I76" i="9"/>
  <c r="M75" i="9"/>
  <c r="K75" i="9"/>
  <c r="L75" i="9" s="1"/>
  <c r="J75" i="9"/>
  <c r="I75" i="9"/>
  <c r="M74" i="9"/>
  <c r="K74" i="9"/>
  <c r="L74" i="9" s="1"/>
  <c r="J74" i="9"/>
  <c r="I74" i="9"/>
  <c r="M73" i="9"/>
  <c r="K73" i="9"/>
  <c r="L73" i="9" s="1"/>
  <c r="J73" i="9"/>
  <c r="I73" i="9"/>
  <c r="M72" i="9"/>
  <c r="L72" i="9"/>
  <c r="K72" i="9"/>
  <c r="J72" i="9"/>
  <c r="I72" i="9"/>
  <c r="M71" i="9"/>
  <c r="L71" i="9"/>
  <c r="K71" i="9"/>
  <c r="J71" i="9"/>
  <c r="I71" i="9"/>
  <c r="M70" i="9"/>
  <c r="L70" i="9"/>
  <c r="K70" i="9"/>
  <c r="J70" i="9"/>
  <c r="I70" i="9"/>
  <c r="M69" i="9"/>
  <c r="K69" i="9"/>
  <c r="L69" i="9" s="1"/>
  <c r="J69" i="9"/>
  <c r="I69" i="9"/>
  <c r="M68" i="9"/>
  <c r="K68" i="9"/>
  <c r="L68" i="9" s="1"/>
  <c r="J68" i="9"/>
  <c r="I68" i="9"/>
  <c r="M67" i="9"/>
  <c r="K67" i="9"/>
  <c r="L67" i="9" s="1"/>
  <c r="J67" i="9"/>
  <c r="I67" i="9"/>
  <c r="M66" i="9"/>
  <c r="K66" i="9"/>
  <c r="L66" i="9" s="1"/>
  <c r="J66" i="9"/>
  <c r="I66" i="9"/>
  <c r="M65" i="9"/>
  <c r="K65" i="9"/>
  <c r="L65" i="9" s="1"/>
  <c r="J65" i="9"/>
  <c r="I65" i="9"/>
  <c r="M64" i="9"/>
  <c r="L64" i="9"/>
  <c r="K64" i="9"/>
  <c r="J64" i="9"/>
  <c r="I64" i="9"/>
  <c r="M63" i="9"/>
  <c r="L63" i="9"/>
  <c r="K63" i="9"/>
  <c r="J63" i="9"/>
  <c r="I63" i="9"/>
  <c r="M62" i="9"/>
  <c r="L62" i="9"/>
  <c r="K62" i="9"/>
  <c r="J62" i="9"/>
  <c r="I62" i="9"/>
  <c r="M61" i="9"/>
  <c r="K61" i="9"/>
  <c r="L61" i="9" s="1"/>
  <c r="J61" i="9"/>
  <c r="I61" i="9"/>
  <c r="M60" i="9"/>
  <c r="K60" i="9"/>
  <c r="L60" i="9" s="1"/>
  <c r="J60" i="9"/>
  <c r="I60" i="9"/>
  <c r="M59" i="9"/>
  <c r="L59" i="9"/>
  <c r="K59" i="9"/>
  <c r="J59" i="9"/>
  <c r="I59" i="9"/>
  <c r="M58" i="9"/>
  <c r="K58" i="9"/>
  <c r="L58" i="9" s="1"/>
  <c r="J58" i="9"/>
  <c r="I58" i="9"/>
  <c r="M57" i="9"/>
  <c r="K57" i="9"/>
  <c r="L57" i="9" s="1"/>
  <c r="J57" i="9"/>
  <c r="I57" i="9"/>
  <c r="M56" i="9"/>
  <c r="L56" i="9"/>
  <c r="K56" i="9"/>
  <c r="J56" i="9"/>
  <c r="I56" i="9"/>
  <c r="M55" i="9"/>
  <c r="L55" i="9"/>
  <c r="K55" i="9"/>
  <c r="J55" i="9"/>
  <c r="I55" i="9"/>
  <c r="M54" i="9"/>
  <c r="L54" i="9"/>
  <c r="K54" i="9"/>
  <c r="J54" i="9"/>
  <c r="I54" i="9"/>
  <c r="M53" i="9"/>
  <c r="K53" i="9"/>
  <c r="L53" i="9" s="1"/>
  <c r="J53" i="9"/>
  <c r="I53" i="9"/>
  <c r="M52" i="9"/>
  <c r="K52" i="9"/>
  <c r="L52" i="9" s="1"/>
  <c r="J52" i="9"/>
  <c r="I52" i="9"/>
  <c r="M51" i="9"/>
  <c r="L51" i="9"/>
  <c r="K51" i="9"/>
  <c r="J51" i="9"/>
  <c r="I51" i="9"/>
  <c r="M50" i="9"/>
  <c r="K50" i="9"/>
  <c r="L50" i="9" s="1"/>
  <c r="J50" i="9"/>
  <c r="I50" i="9"/>
  <c r="M49" i="9"/>
  <c r="K49" i="9"/>
  <c r="L49" i="9" s="1"/>
  <c r="J49" i="9"/>
  <c r="I49" i="9"/>
  <c r="M48" i="9"/>
  <c r="L48" i="9"/>
  <c r="K48" i="9"/>
  <c r="J48" i="9"/>
  <c r="I48" i="9"/>
  <c r="M47" i="9"/>
  <c r="L47" i="9"/>
  <c r="K47" i="9"/>
  <c r="J47" i="9"/>
  <c r="I47" i="9"/>
  <c r="M46" i="9"/>
  <c r="L46" i="9"/>
  <c r="K46" i="9"/>
  <c r="J46" i="9"/>
  <c r="I46" i="9"/>
  <c r="M45" i="9"/>
  <c r="K45" i="9"/>
  <c r="L45" i="9" s="1"/>
  <c r="J45" i="9"/>
  <c r="I45" i="9"/>
  <c r="M44" i="9"/>
  <c r="K44" i="9"/>
  <c r="L44" i="9" s="1"/>
  <c r="J44" i="9"/>
  <c r="I44" i="9"/>
  <c r="M43" i="9"/>
  <c r="K43" i="9"/>
  <c r="L43" i="9" s="1"/>
  <c r="J43" i="9"/>
  <c r="I43" i="9"/>
  <c r="M42" i="9"/>
  <c r="K42" i="9"/>
  <c r="L42" i="9" s="1"/>
  <c r="J42" i="9"/>
  <c r="I42" i="9"/>
  <c r="M41" i="9"/>
  <c r="K41" i="9"/>
  <c r="L41" i="9" s="1"/>
  <c r="J41" i="9"/>
  <c r="I41" i="9"/>
  <c r="M40" i="9"/>
  <c r="L40" i="9"/>
  <c r="K40" i="9"/>
  <c r="J40" i="9"/>
  <c r="I40" i="9"/>
  <c r="M39" i="9"/>
  <c r="L39" i="9"/>
  <c r="K39" i="9"/>
  <c r="J39" i="9"/>
  <c r="I39" i="9"/>
  <c r="M38" i="9"/>
  <c r="L38" i="9"/>
  <c r="K38" i="9"/>
  <c r="J38" i="9"/>
  <c r="I38" i="9"/>
  <c r="M37" i="9"/>
  <c r="K37" i="9"/>
  <c r="L37" i="9" s="1"/>
  <c r="J37" i="9"/>
  <c r="I37" i="9"/>
  <c r="M36" i="9"/>
  <c r="K36" i="9"/>
  <c r="L36" i="9" s="1"/>
  <c r="J36" i="9"/>
  <c r="I36" i="9"/>
  <c r="M35" i="9"/>
  <c r="K35" i="9"/>
  <c r="L35" i="9" s="1"/>
  <c r="J35" i="9"/>
  <c r="I35" i="9"/>
  <c r="M34" i="9"/>
  <c r="K34" i="9"/>
  <c r="L34" i="9" s="1"/>
  <c r="J34" i="9"/>
  <c r="I34" i="9"/>
  <c r="M33" i="9"/>
  <c r="K33" i="9"/>
  <c r="L33" i="9" s="1"/>
  <c r="J33" i="9"/>
  <c r="I33" i="9"/>
  <c r="M32" i="9"/>
  <c r="L32" i="9"/>
  <c r="K32" i="9"/>
  <c r="J32" i="9"/>
  <c r="I32" i="9"/>
  <c r="M31" i="9"/>
  <c r="L31" i="9"/>
  <c r="K31" i="9"/>
  <c r="J31" i="9"/>
  <c r="I31" i="9"/>
  <c r="M30" i="9"/>
  <c r="L30" i="9"/>
  <c r="K30" i="9"/>
  <c r="J30" i="9"/>
  <c r="I30" i="9"/>
  <c r="M29" i="9"/>
  <c r="K29" i="9"/>
  <c r="L29" i="9" s="1"/>
  <c r="J29" i="9"/>
  <c r="I29" i="9"/>
  <c r="M28" i="9"/>
  <c r="K28" i="9"/>
  <c r="L28" i="9" s="1"/>
  <c r="J28" i="9"/>
  <c r="I28" i="9"/>
  <c r="M27" i="9"/>
  <c r="K27" i="9"/>
  <c r="L27" i="9" s="1"/>
  <c r="J27" i="9"/>
  <c r="I27" i="9"/>
  <c r="M26" i="9"/>
  <c r="K26" i="9"/>
  <c r="L26" i="9" s="1"/>
  <c r="J26" i="9"/>
  <c r="I26" i="9"/>
  <c r="M25" i="9"/>
  <c r="K25" i="9"/>
  <c r="L25" i="9" s="1"/>
  <c r="J25" i="9"/>
  <c r="I25" i="9"/>
  <c r="M24" i="9"/>
  <c r="K24" i="9"/>
  <c r="L24" i="9" s="1"/>
  <c r="J24" i="9"/>
  <c r="I24" i="9"/>
  <c r="M23" i="9"/>
  <c r="L23" i="9"/>
  <c r="K23" i="9"/>
  <c r="J23" i="9"/>
  <c r="I23" i="9"/>
  <c r="M22" i="9"/>
  <c r="L22" i="9"/>
  <c r="K22" i="9"/>
  <c r="J22" i="9"/>
  <c r="I22" i="9"/>
  <c r="M21" i="9"/>
  <c r="K21" i="9"/>
  <c r="L21" i="9" s="1"/>
  <c r="J21" i="9"/>
  <c r="I21" i="9"/>
  <c r="M20" i="9"/>
  <c r="K20" i="9"/>
  <c r="L20" i="9" s="1"/>
  <c r="J20" i="9"/>
  <c r="I20" i="9"/>
  <c r="M19" i="9"/>
  <c r="K19" i="9"/>
  <c r="L19" i="9" s="1"/>
  <c r="J19" i="9"/>
  <c r="I19" i="9"/>
  <c r="M18" i="9"/>
  <c r="K18" i="9"/>
  <c r="L18" i="9" s="1"/>
  <c r="J18" i="9"/>
  <c r="I18" i="9"/>
  <c r="M17" i="9"/>
  <c r="K17" i="9"/>
  <c r="L17" i="9" s="1"/>
  <c r="J17" i="9"/>
  <c r="I17" i="9"/>
  <c r="M16" i="9"/>
  <c r="K16" i="9"/>
  <c r="L16" i="9" s="1"/>
  <c r="J16" i="9"/>
  <c r="I16" i="9"/>
  <c r="M15" i="9"/>
  <c r="L15" i="9"/>
  <c r="K15" i="9"/>
  <c r="J15" i="9"/>
  <c r="I15" i="9"/>
  <c r="M14" i="9"/>
  <c r="L14" i="9"/>
  <c r="K14" i="9"/>
  <c r="J14" i="9"/>
  <c r="I14" i="9"/>
  <c r="M13" i="9"/>
  <c r="K13" i="9"/>
  <c r="L13" i="9" s="1"/>
  <c r="J13" i="9"/>
  <c r="I13" i="9"/>
  <c r="M12" i="9"/>
  <c r="K12" i="9"/>
  <c r="L12" i="9" s="1"/>
  <c r="J12" i="9"/>
  <c r="I12" i="9"/>
  <c r="M11" i="9"/>
  <c r="K11" i="9"/>
  <c r="L11" i="9" s="1"/>
  <c r="J11" i="9"/>
  <c r="I11" i="9"/>
  <c r="M10" i="9"/>
  <c r="K10" i="9"/>
  <c r="L10" i="9" s="1"/>
  <c r="J10" i="9"/>
  <c r="I10" i="9"/>
  <c r="M9" i="9"/>
  <c r="K9" i="9"/>
  <c r="L9" i="9" s="1"/>
  <c r="J9" i="9"/>
  <c r="I9" i="9"/>
  <c r="M8" i="9"/>
  <c r="K8" i="9"/>
  <c r="L8" i="9" s="1"/>
  <c r="J8" i="9"/>
  <c r="I8" i="9"/>
  <c r="M7" i="9"/>
  <c r="L7" i="9"/>
  <c r="K7" i="9"/>
  <c r="J7" i="9"/>
  <c r="I7" i="9"/>
  <c r="M6" i="9"/>
  <c r="L6" i="9"/>
  <c r="K6" i="9"/>
  <c r="J6" i="9"/>
  <c r="I6" i="9"/>
  <c r="M5" i="9"/>
  <c r="K5" i="9"/>
  <c r="L5" i="9" s="1"/>
  <c r="J5" i="9"/>
  <c r="I5" i="9"/>
  <c r="M4" i="9"/>
  <c r="K4" i="9"/>
  <c r="L4" i="9" s="1"/>
  <c r="J4" i="9"/>
  <c r="I4" i="9"/>
  <c r="M3" i="9"/>
  <c r="K3" i="9"/>
  <c r="L3" i="9" s="1"/>
  <c r="J3" i="9"/>
  <c r="I3" i="9"/>
  <c r="AG5" i="6"/>
  <c r="AG4" i="6"/>
  <c r="AI4" i="6" s="1"/>
  <c r="AG3" i="6"/>
  <c r="AI3" i="6" s="1"/>
  <c r="F33" i="1"/>
  <c r="F13" i="1"/>
  <c r="AG6" i="6" l="1"/>
  <c r="AI5" i="6"/>
  <c r="AI6" i="6" s="1"/>
</calcChain>
</file>

<file path=xl/sharedStrings.xml><?xml version="1.0" encoding="utf-8"?>
<sst xmlns="http://schemas.openxmlformats.org/spreadsheetml/2006/main" count="696" uniqueCount="130">
  <si>
    <t>[기본 현장] 월별 정산 내역서</t>
  </si>
  <si>
    <t>4층(4세대), 5층(4세대)</t>
  </si>
  <si>
    <t>3. 기타 작업 내역 (별도 청구)</t>
  </si>
  <si>
    <t>8층(4세대), 9층(4세대)</t>
  </si>
  <si>
    <t>4층(5세대), 5층(5세대)</t>
  </si>
  <si>
    <t>B1층 청소(1차)</t>
  </si>
  <si>
    <t>2026-04-21</t>
  </si>
  <si>
    <t>B2층 청소(1차)</t>
  </si>
  <si>
    <t>2026-04-27</t>
  </si>
  <si>
    <t>1. 갱폼 박리제 도급 내역</t>
  </si>
  <si>
    <t>2. 세대 청소 도급 내역</t>
  </si>
  <si>
    <t>6층(1차), 7층(1차)</t>
  </si>
  <si>
    <r>
      <t>1</t>
    </r>
    <r>
      <rPr>
        <sz val="12"/>
        <color rgb="FF000000"/>
        <rFont val="Noto Sans CJK SC"/>
      </rPr>
      <t>일</t>
    </r>
  </si>
  <si>
    <r>
      <t>4</t>
    </r>
    <r>
      <rPr>
        <sz val="12"/>
        <color rgb="FF000000"/>
        <rFont val="Noto Sans CJK SC"/>
      </rPr>
      <t>일</t>
    </r>
  </si>
  <si>
    <r>
      <t>3</t>
    </r>
    <r>
      <rPr>
        <sz val="12"/>
        <color rgb="FF000000"/>
        <rFont val="Noto Sans CJK SC"/>
      </rPr>
      <t>일</t>
    </r>
  </si>
  <si>
    <r>
      <t>5</t>
    </r>
    <r>
      <rPr>
        <sz val="12"/>
        <color rgb="FF000000"/>
        <rFont val="Noto Sans CJK SC"/>
      </rPr>
      <t>일</t>
    </r>
  </si>
  <si>
    <r>
      <t>2</t>
    </r>
    <r>
      <rPr>
        <sz val="12"/>
        <color rgb="FF000000"/>
        <rFont val="Noto Sans CJK SC"/>
      </rPr>
      <t>일</t>
    </r>
  </si>
  <si>
    <r>
      <t>6</t>
    </r>
    <r>
      <rPr>
        <sz val="12"/>
        <color rgb="FF000000"/>
        <rFont val="Noto Sans CJK SC"/>
      </rPr>
      <t>일</t>
    </r>
  </si>
  <si>
    <t>이르판</t>
  </si>
  <si>
    <r>
      <t>22</t>
    </r>
    <r>
      <rPr>
        <sz val="12"/>
        <color rgb="FF000000"/>
        <rFont val="Noto Sans CJK SC"/>
      </rPr>
      <t>일</t>
    </r>
  </si>
  <si>
    <r>
      <t>6</t>
    </r>
    <r>
      <rPr>
        <sz val="12"/>
        <color rgb="FF000000"/>
        <rFont val="Noto Sans CJK SC"/>
      </rPr>
      <t>층</t>
    </r>
  </si>
  <si>
    <r>
      <t>16</t>
    </r>
    <r>
      <rPr>
        <sz val="12"/>
        <color rgb="FF000000"/>
        <rFont val="Noto Sans CJK SC"/>
      </rPr>
      <t>일</t>
    </r>
  </si>
  <si>
    <r>
      <t>26</t>
    </r>
    <r>
      <rPr>
        <sz val="12"/>
        <color rgb="FF000000"/>
        <rFont val="Noto Sans CJK SC"/>
      </rPr>
      <t>일</t>
    </r>
  </si>
  <si>
    <r>
      <t>27</t>
    </r>
    <r>
      <rPr>
        <sz val="12"/>
        <color rgb="FF000000"/>
        <rFont val="Noto Sans CJK SC"/>
      </rPr>
      <t>일</t>
    </r>
  </si>
  <si>
    <r>
      <t>11</t>
    </r>
    <r>
      <rPr>
        <sz val="12"/>
        <color rgb="FF000000"/>
        <rFont val="Noto Sans CJK SC"/>
      </rPr>
      <t>일</t>
    </r>
  </si>
  <si>
    <r>
      <t>24</t>
    </r>
    <r>
      <rPr>
        <sz val="12"/>
        <color rgb="FF000000"/>
        <rFont val="Noto Sans CJK SC"/>
      </rPr>
      <t>일</t>
    </r>
  </si>
  <si>
    <t>직영</t>
  </si>
  <si>
    <r>
      <t>1</t>
    </r>
    <r>
      <rPr>
        <sz val="12"/>
        <color rgb="FF000000"/>
        <rFont val="Noto Sans CJK SC"/>
      </rPr>
      <t>동</t>
    </r>
  </si>
  <si>
    <r>
      <t>23</t>
    </r>
    <r>
      <rPr>
        <sz val="12"/>
        <color rgb="FF000000"/>
        <rFont val="Noto Sans CJK SC"/>
      </rPr>
      <t>일</t>
    </r>
  </si>
  <si>
    <r>
      <t>7</t>
    </r>
    <r>
      <rPr>
        <sz val="12"/>
        <color rgb="FF000000"/>
        <rFont val="Noto Sans CJK SC"/>
      </rPr>
      <t>일</t>
    </r>
  </si>
  <si>
    <r>
      <t>12</t>
    </r>
    <r>
      <rPr>
        <sz val="12"/>
        <color rgb="FF000000"/>
        <rFont val="Noto Sans CJK SC"/>
      </rPr>
      <t>일</t>
    </r>
  </si>
  <si>
    <r>
      <t>20</t>
    </r>
    <r>
      <rPr>
        <sz val="12"/>
        <color rgb="FF000000"/>
        <rFont val="Noto Sans CJK SC"/>
      </rPr>
      <t>일</t>
    </r>
  </si>
  <si>
    <r>
      <t>8</t>
    </r>
    <r>
      <rPr>
        <sz val="12"/>
        <color rgb="FF000000"/>
        <rFont val="Noto Sans CJK SC"/>
      </rPr>
      <t>일</t>
    </r>
  </si>
  <si>
    <r>
      <t>9</t>
    </r>
    <r>
      <rPr>
        <sz val="12"/>
        <color rgb="FF000000"/>
        <rFont val="Noto Sans CJK SC"/>
      </rPr>
      <t>일</t>
    </r>
  </si>
  <si>
    <r>
      <t>15</t>
    </r>
    <r>
      <rPr>
        <sz val="12"/>
        <color rgb="FF000000"/>
        <rFont val="Noto Sans CJK SC"/>
      </rPr>
      <t>일</t>
    </r>
  </si>
  <si>
    <r>
      <t>14</t>
    </r>
    <r>
      <rPr>
        <sz val="12"/>
        <color rgb="FF000000"/>
        <rFont val="Noto Sans CJK SC"/>
      </rPr>
      <t>일</t>
    </r>
  </si>
  <si>
    <r>
      <t>13</t>
    </r>
    <r>
      <rPr>
        <sz val="12"/>
        <color rgb="FF000000"/>
        <rFont val="Noto Sans CJK SC"/>
      </rPr>
      <t>일</t>
    </r>
  </si>
  <si>
    <r>
      <t>17</t>
    </r>
    <r>
      <rPr>
        <sz val="12"/>
        <color rgb="FF000000"/>
        <rFont val="Noto Sans CJK SC"/>
      </rPr>
      <t>일</t>
    </r>
  </si>
  <si>
    <r>
      <t>25</t>
    </r>
    <r>
      <rPr>
        <sz val="12"/>
        <color rgb="FF000000"/>
        <rFont val="Noto Sans CJK SC"/>
      </rPr>
      <t>일</t>
    </r>
  </si>
  <si>
    <r>
      <t>21</t>
    </r>
    <r>
      <rPr>
        <sz val="12"/>
        <color rgb="FF000000"/>
        <rFont val="Noto Sans CJK SC"/>
      </rPr>
      <t>일</t>
    </r>
  </si>
  <si>
    <r>
      <t>29</t>
    </r>
    <r>
      <rPr>
        <sz val="12"/>
        <color rgb="FF000000"/>
        <rFont val="Noto Sans CJK SC"/>
      </rPr>
      <t>일</t>
    </r>
  </si>
  <si>
    <r>
      <t>30</t>
    </r>
    <r>
      <rPr>
        <sz val="12"/>
        <color rgb="FF000000"/>
        <rFont val="Noto Sans CJK SC"/>
      </rPr>
      <t>일</t>
    </r>
  </si>
  <si>
    <r>
      <t>28</t>
    </r>
    <r>
      <rPr>
        <sz val="12"/>
        <color rgb="FF000000"/>
        <rFont val="Noto Sans CJK SC"/>
      </rPr>
      <t>일</t>
    </r>
  </si>
  <si>
    <r>
      <t>19</t>
    </r>
    <r>
      <rPr>
        <sz val="12"/>
        <color rgb="FF000000"/>
        <rFont val="Noto Sans CJK SC"/>
      </rPr>
      <t>일</t>
    </r>
  </si>
  <si>
    <r>
      <t>18</t>
    </r>
    <r>
      <rPr>
        <sz val="12"/>
        <color rgb="FF000000"/>
        <rFont val="Noto Sans CJK SC"/>
      </rPr>
      <t>일</t>
    </r>
  </si>
  <si>
    <r>
      <t>10</t>
    </r>
    <r>
      <rPr>
        <sz val="12"/>
        <color rgb="FF000000"/>
        <rFont val="Noto Sans CJK SC"/>
      </rPr>
      <t>일</t>
    </r>
  </si>
  <si>
    <t>김대성</t>
  </si>
  <si>
    <t>김성백</t>
  </si>
  <si>
    <r>
      <t>1</t>
    </r>
    <r>
      <rPr>
        <sz val="12"/>
        <color rgb="FF000000"/>
        <rFont val="Noto Sans CJK SC"/>
      </rPr>
      <t>층</t>
    </r>
  </si>
  <si>
    <r>
      <t>9</t>
    </r>
    <r>
      <rPr>
        <sz val="12"/>
        <color rgb="FF000000"/>
        <rFont val="Noto Sans CJK SC"/>
      </rPr>
      <t>동</t>
    </r>
  </si>
  <si>
    <t>단가</t>
  </si>
  <si>
    <r>
      <t>5</t>
    </r>
    <r>
      <rPr>
        <sz val="12"/>
        <color rgb="FF000000"/>
        <rFont val="Noto Sans CJK SC"/>
      </rPr>
      <t>층</t>
    </r>
  </si>
  <si>
    <t>합계</t>
  </si>
  <si>
    <t>일자</t>
  </si>
  <si>
    <t>구분</t>
  </si>
  <si>
    <t>층</t>
  </si>
  <si>
    <r>
      <t>2</t>
    </r>
    <r>
      <rPr>
        <sz val="12"/>
        <color rgb="FF000000"/>
        <rFont val="Noto Sans CJK SC"/>
      </rPr>
      <t>동</t>
    </r>
  </si>
  <si>
    <r>
      <t>3</t>
    </r>
    <r>
      <rPr>
        <sz val="12"/>
        <color rgb="FF000000"/>
        <rFont val="Noto Sans CJK SC"/>
      </rPr>
      <t>명</t>
    </r>
  </si>
  <si>
    <r>
      <t>3</t>
    </r>
    <r>
      <rPr>
        <sz val="12"/>
        <color rgb="FF000000"/>
        <rFont val="Noto Sans CJK SC"/>
      </rPr>
      <t>층</t>
    </r>
  </si>
  <si>
    <r>
      <t>4</t>
    </r>
    <r>
      <rPr>
        <sz val="12"/>
        <color rgb="FF000000"/>
        <rFont val="Noto Sans CJK SC"/>
      </rPr>
      <t>층</t>
    </r>
  </si>
  <si>
    <r>
      <t>2</t>
    </r>
    <r>
      <rPr>
        <sz val="12"/>
        <color rgb="FF000000"/>
        <rFont val="Noto Sans CJK SC"/>
      </rPr>
      <t>층</t>
    </r>
  </si>
  <si>
    <t>동</t>
  </si>
  <si>
    <t>월</t>
  </si>
  <si>
    <t>순번</t>
  </si>
  <si>
    <t>도급</t>
  </si>
  <si>
    <r>
      <t>2</t>
    </r>
    <r>
      <rPr>
        <sz val="12"/>
        <color rgb="FF000000"/>
        <rFont val="Noto Sans CJK SC"/>
      </rPr>
      <t>명</t>
    </r>
  </si>
  <si>
    <r>
      <t>4</t>
    </r>
    <r>
      <rPr>
        <sz val="12"/>
        <color rgb="FF000000"/>
        <rFont val="Noto Sans CJK SC"/>
      </rPr>
      <t>동</t>
    </r>
  </si>
  <si>
    <r>
      <t>7</t>
    </r>
    <r>
      <rPr>
        <sz val="12"/>
        <color rgb="FF000000"/>
        <rFont val="Noto Sans CJK SC"/>
      </rPr>
      <t>층</t>
    </r>
  </si>
  <si>
    <t>공수</t>
  </si>
  <si>
    <t>인원</t>
  </si>
  <si>
    <t>호</t>
  </si>
  <si>
    <t>금액</t>
  </si>
  <si>
    <t>9세대</t>
  </si>
  <si>
    <t>2동</t>
  </si>
  <si>
    <t>6동</t>
  </si>
  <si>
    <t>소계</t>
  </si>
  <si>
    <t>0세대</t>
  </si>
  <si>
    <r>
      <t>4</t>
    </r>
    <r>
      <rPr>
        <sz val="12"/>
        <color rgb="FF000000"/>
        <rFont val="Noto Sans CJK SC"/>
      </rPr>
      <t>호</t>
    </r>
  </si>
  <si>
    <r>
      <t>1</t>
    </r>
    <r>
      <rPr>
        <sz val="12"/>
        <color rgb="FF000000"/>
        <rFont val="Noto Sans CJK SC"/>
      </rPr>
      <t>차</t>
    </r>
  </si>
  <si>
    <t>기타</t>
  </si>
  <si>
    <t>차수</t>
  </si>
  <si>
    <r>
      <t>3</t>
    </r>
    <r>
      <rPr>
        <sz val="12"/>
        <color rgb="FF000000"/>
        <rFont val="Noto Sans CJK SC"/>
      </rPr>
      <t>호</t>
    </r>
  </si>
  <si>
    <t>세대</t>
  </si>
  <si>
    <t>7동</t>
  </si>
  <si>
    <t>8세대</t>
  </si>
  <si>
    <r>
      <t>2</t>
    </r>
    <r>
      <rPr>
        <sz val="12"/>
        <color rgb="FF000000"/>
        <rFont val="Noto Sans CJK SC"/>
      </rPr>
      <t>호</t>
    </r>
  </si>
  <si>
    <t>3동</t>
  </si>
  <si>
    <t>3세대</t>
  </si>
  <si>
    <t>9동</t>
  </si>
  <si>
    <r>
      <t>1</t>
    </r>
    <r>
      <rPr>
        <sz val="12"/>
        <color rgb="FF000000"/>
        <rFont val="Noto Sans CJK SC"/>
      </rPr>
      <t>호</t>
    </r>
  </si>
  <si>
    <r>
      <t>2</t>
    </r>
    <r>
      <rPr>
        <sz val="12"/>
        <color rgb="FF000000"/>
        <rFont val="Noto Sans CJK SC"/>
      </rPr>
      <t>차</t>
    </r>
  </si>
  <si>
    <t>계단</t>
  </si>
  <si>
    <t>4동</t>
  </si>
  <si>
    <t>1동</t>
  </si>
  <si>
    <t/>
  </si>
  <si>
    <t>2층</t>
  </si>
  <si>
    <r>
      <t>4</t>
    </r>
    <r>
      <rPr>
        <sz val="12"/>
        <color rgb="FF000000"/>
        <rFont val="Noto Sans CJK SC"/>
      </rPr>
      <t>월 세대청소</t>
    </r>
  </si>
  <si>
    <r>
      <t>4</t>
    </r>
    <r>
      <rPr>
        <sz val="12"/>
        <color rgb="FF000000"/>
        <rFont val="Noto Sans CJK SC"/>
      </rPr>
      <t>월</t>
    </r>
    <r>
      <rPr>
        <sz val="12"/>
        <color rgb="FF000000"/>
        <rFont val="맑은 고딕"/>
        <family val="3"/>
        <charset val="129"/>
      </rPr>
      <t>21</t>
    </r>
    <r>
      <rPr>
        <sz val="12"/>
        <color rgb="FF000000"/>
        <rFont val="Noto Sans CJK SC"/>
      </rPr>
      <t>일</t>
    </r>
  </si>
  <si>
    <t>지하1층</t>
  </si>
  <si>
    <r>
      <t>4</t>
    </r>
    <r>
      <rPr>
        <sz val="12"/>
        <color rgb="FF000000"/>
        <rFont val="Noto Sans CJK SC"/>
      </rPr>
      <t>월</t>
    </r>
    <r>
      <rPr>
        <sz val="12"/>
        <color rgb="FF000000"/>
        <rFont val="맑은 고딕"/>
        <family val="3"/>
        <charset val="129"/>
      </rPr>
      <t>28</t>
    </r>
    <r>
      <rPr>
        <sz val="12"/>
        <color rgb="FF000000"/>
        <rFont val="Noto Sans CJK SC"/>
      </rPr>
      <t>일</t>
    </r>
  </si>
  <si>
    <t>작업자 이름</t>
  </si>
  <si>
    <t>총 노무비</t>
  </si>
  <si>
    <r>
      <t>4</t>
    </r>
    <r>
      <rPr>
        <sz val="12"/>
        <color rgb="FF000000"/>
        <rFont val="Noto Sans CJK SC"/>
      </rPr>
      <t>월</t>
    </r>
    <r>
      <rPr>
        <sz val="12"/>
        <color rgb="FF000000"/>
        <rFont val="맑은 고딕"/>
        <family val="3"/>
        <charset val="129"/>
      </rPr>
      <t>1</t>
    </r>
    <r>
      <rPr>
        <sz val="12"/>
        <color rgb="FF000000"/>
        <rFont val="Noto Sans CJK SC"/>
      </rPr>
      <t>일</t>
    </r>
  </si>
  <si>
    <t>적용 단가</t>
  </si>
  <si>
    <t>합계 금액</t>
  </si>
  <si>
    <t>지하2층</t>
  </si>
  <si>
    <t>총 공수</t>
  </si>
  <si>
    <r>
      <t>4</t>
    </r>
    <r>
      <rPr>
        <sz val="12"/>
        <color rgb="FF000000"/>
        <rFont val="Noto Sans CJK SC"/>
      </rPr>
      <t>월</t>
    </r>
    <r>
      <rPr>
        <sz val="12"/>
        <color rgb="FF000000"/>
        <rFont val="맑은 고딕"/>
        <family val="3"/>
        <charset val="129"/>
      </rPr>
      <t>20</t>
    </r>
    <r>
      <rPr>
        <sz val="12"/>
        <color rgb="FF000000"/>
        <rFont val="Noto Sans CJK SC"/>
      </rPr>
      <t>일</t>
    </r>
  </si>
  <si>
    <r>
      <t>4</t>
    </r>
    <r>
      <rPr>
        <sz val="12"/>
        <color rgb="FF000000"/>
        <rFont val="Noto Sans CJK SC"/>
      </rPr>
      <t>월</t>
    </r>
    <r>
      <rPr>
        <sz val="12"/>
        <color rgb="FF000000"/>
        <rFont val="맑은 고딕"/>
        <family val="3"/>
        <charset val="129"/>
      </rPr>
      <t>7</t>
    </r>
    <r>
      <rPr>
        <sz val="12"/>
        <color rgb="FF000000"/>
        <rFont val="Noto Sans CJK SC"/>
      </rPr>
      <t>일</t>
    </r>
  </si>
  <si>
    <r>
      <t>4</t>
    </r>
    <r>
      <rPr>
        <sz val="12"/>
        <color rgb="FF000000"/>
        <rFont val="Noto Sans CJK SC"/>
      </rPr>
      <t>월</t>
    </r>
    <r>
      <rPr>
        <sz val="12"/>
        <color rgb="FF000000"/>
        <rFont val="맑은 고딕"/>
        <family val="3"/>
        <charset val="129"/>
      </rPr>
      <t>27</t>
    </r>
    <r>
      <rPr>
        <sz val="12"/>
        <color rgb="FF000000"/>
        <rFont val="Noto Sans CJK SC"/>
      </rPr>
      <t>일</t>
    </r>
  </si>
  <si>
    <r>
      <t>4</t>
    </r>
    <r>
      <rPr>
        <sz val="12"/>
        <color rgb="FF000000"/>
        <rFont val="Noto Sans CJK SC"/>
      </rPr>
      <t>월</t>
    </r>
    <r>
      <rPr>
        <sz val="12"/>
        <color rgb="FF000000"/>
        <rFont val="맑은 고딕"/>
        <family val="3"/>
        <charset val="129"/>
      </rPr>
      <t>13</t>
    </r>
    <r>
      <rPr>
        <sz val="12"/>
        <color rgb="FF000000"/>
        <rFont val="Noto Sans CJK SC"/>
      </rPr>
      <t>일</t>
    </r>
  </si>
  <si>
    <r>
      <t>4</t>
    </r>
    <r>
      <rPr>
        <sz val="12"/>
        <color rgb="FF000000"/>
        <rFont val="Noto Sans CJK SC"/>
      </rPr>
      <t>월</t>
    </r>
    <r>
      <rPr>
        <sz val="12"/>
        <color rgb="FF000000"/>
        <rFont val="맑은 고딕"/>
        <family val="3"/>
        <charset val="129"/>
      </rPr>
      <t>4</t>
    </r>
    <r>
      <rPr>
        <sz val="12"/>
        <color rgb="FF000000"/>
        <rFont val="Noto Sans CJK SC"/>
      </rPr>
      <t>일</t>
    </r>
  </si>
  <si>
    <r>
      <t>4</t>
    </r>
    <r>
      <rPr>
        <sz val="12"/>
        <color rgb="FF000000"/>
        <rFont val="Noto Sans CJK SC"/>
      </rPr>
      <t>월</t>
    </r>
    <r>
      <rPr>
        <sz val="12"/>
        <color rgb="FF000000"/>
        <rFont val="맑은 고딕"/>
        <family val="3"/>
        <charset val="129"/>
      </rPr>
      <t>22</t>
    </r>
    <r>
      <rPr>
        <sz val="12"/>
        <color rgb="FF000000"/>
        <rFont val="Noto Sans CJK SC"/>
      </rPr>
      <t>일</t>
    </r>
  </si>
  <si>
    <r>
      <t>4</t>
    </r>
    <r>
      <rPr>
        <sz val="12"/>
        <color rgb="FF000000"/>
        <rFont val="Noto Sans CJK SC"/>
      </rPr>
      <t>월</t>
    </r>
    <r>
      <rPr>
        <sz val="12"/>
        <color rgb="FF000000"/>
        <rFont val="맑은 고딕"/>
        <family val="3"/>
        <charset val="129"/>
      </rPr>
      <t>10</t>
    </r>
    <r>
      <rPr>
        <sz val="12"/>
        <color rgb="FF000000"/>
        <rFont val="Noto Sans CJK SC"/>
      </rPr>
      <t>일</t>
    </r>
  </si>
  <si>
    <r>
      <t>4</t>
    </r>
    <r>
      <rPr>
        <sz val="12"/>
        <color rgb="FF000000"/>
        <rFont val="Noto Sans CJK SC"/>
      </rPr>
      <t>월</t>
    </r>
    <r>
      <rPr>
        <sz val="12"/>
        <color rgb="FF000000"/>
        <rFont val="맑은 고딕"/>
        <family val="3"/>
        <charset val="129"/>
      </rPr>
      <t>9</t>
    </r>
    <r>
      <rPr>
        <sz val="12"/>
        <color rgb="FF000000"/>
        <rFont val="Noto Sans CJK SC"/>
      </rPr>
      <t>일</t>
    </r>
  </si>
  <si>
    <r>
      <t>4</t>
    </r>
    <r>
      <rPr>
        <sz val="12"/>
        <color rgb="FF000000"/>
        <rFont val="Noto Sans CJK SC"/>
      </rPr>
      <t>월</t>
    </r>
    <r>
      <rPr>
        <sz val="12"/>
        <color rgb="FF000000"/>
        <rFont val="맑은 고딕"/>
        <family val="3"/>
        <charset val="129"/>
      </rPr>
      <t>8</t>
    </r>
    <r>
      <rPr>
        <sz val="12"/>
        <color rgb="FF000000"/>
        <rFont val="Noto Sans CJK SC"/>
      </rPr>
      <t>일</t>
    </r>
  </si>
  <si>
    <r>
      <t>4</t>
    </r>
    <r>
      <rPr>
        <sz val="12"/>
        <color rgb="FF000000"/>
        <rFont val="Noto Sans CJK SC"/>
      </rPr>
      <t>월</t>
    </r>
    <r>
      <rPr>
        <sz val="12"/>
        <color rgb="FF000000"/>
        <rFont val="맑은 고딕"/>
        <family val="3"/>
        <charset val="129"/>
      </rPr>
      <t>2</t>
    </r>
    <r>
      <rPr>
        <sz val="12"/>
        <color rgb="FF000000"/>
        <rFont val="Noto Sans CJK SC"/>
      </rPr>
      <t>일</t>
    </r>
  </si>
  <si>
    <t>4층(1차)</t>
  </si>
  <si>
    <t>3층(3세대)</t>
  </si>
  <si>
    <t>12세대</t>
  </si>
  <si>
    <t>10세대</t>
  </si>
  <si>
    <t>23세대</t>
  </si>
  <si>
    <t>작업 내용</t>
  </si>
  <si>
    <t>비고(날짜)</t>
  </si>
  <si>
    <t>46세대</t>
  </si>
  <si>
    <t>작업층/차수</t>
  </si>
  <si>
    <t>작업층/세대수</t>
  </si>
  <si>
    <t>2026년 04월 (도급기간: 16일~말일)</t>
  </si>
  <si>
    <t>4층(3세대), 5층(3세대), 6층(3세대)</t>
  </si>
  <si>
    <t>5층(1차), 6층(1차), 7층(1차)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</si>
</sst>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_-* #,##0_-;\-* #,##0_-;_-* \-_-;_-@_-"/>
  </numFmts>
  <fonts count="7">
    <font>
      <sz val="12"/>
      <color rgb="FF000000"/>
      <name val="맑은 고딕"/>
    </font>
    <font>
      <sz val="12"/>
      <color rgb="FF000000"/>
      <name val="맑은 고딕"/>
      <family val="3"/>
      <charset val="129"/>
    </font>
    <font>
      <sz val="12"/>
      <color rgb="FF000000"/>
      <name val="Noto Sans CJK SC"/>
    </font>
    <font>
      <b/>
      <sz val="10"/>
      <color rgb="FF000000"/>
      <name val="Noto Sans CJK SC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BDD7EE"/>
      </patternFill>
    </fill>
    <fill>
      <patternFill patternType="solid">
        <fgColor rgb="FFEBF1DE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>
      <alignment vertical="center"/>
    </xf>
  </cellStyleXfs>
  <cellXfs count="25">
    <xf numFmtId="0" fontId="0" fillId="0" borderId="0" xfId="0" applyNumberFormat="1">
      <alignment vertical="center"/>
    </xf>
    <xf numFmtId="0" fontId="0" fillId="0" borderId="0" xfId="0" applyNumberFormat="1" applyAlignment="1"/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176" fontId="0" fillId="0" borderId="1" xfId="0" applyNumberForma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2" xfId="0" applyNumberFormat="1" applyBorder="1" applyAlignment="1"/>
    <xf numFmtId="0" fontId="0" fillId="0" borderId="3" xfId="0" applyNumberFormat="1" applyBorder="1" applyAlignment="1">
      <alignment horizontal="center"/>
    </xf>
    <xf numFmtId="0" fontId="0" fillId="0" borderId="0" xfId="0" applyNumberFormat="1" applyAlignment="1"/>
    <xf numFmtId="41" fontId="0" fillId="0" borderId="0" xfId="1" applyNumberFormat="1" applyFont="1" applyAlignment="1"/>
    <xf numFmtId="0" fontId="4" fillId="0" borderId="0" xfId="0" applyNumberFormat="1" applyFont="1" applyAlignment="1"/>
    <xf numFmtId="0" fontId="0" fillId="3" borderId="1" xfId="0" applyNumberFormat="1" applyFill="1" applyBorder="1" applyAlignment="1"/>
    <xf numFmtId="41" fontId="0" fillId="3" borderId="1" xfId="1" applyNumberFormat="1" applyFont="1" applyFill="1" applyBorder="1" applyAlignment="1"/>
    <xf numFmtId="0" fontId="0" fillId="0" borderId="1" xfId="0" applyNumberFormat="1" applyBorder="1" applyAlignment="1"/>
    <xf numFmtId="41" fontId="0" fillId="0" borderId="1" xfId="1" applyNumberFormat="1" applyFont="1" applyBorder="1" applyAlignment="1"/>
    <xf numFmtId="0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</cellXfs>
  <cellStyles count="2">
    <cellStyle name="쉼표 [0]" xfId="1" builtinId="6"/>
    <cellStyle name="표준" xfId="0" builtinId="0"/>
  </cellStyles>
  <dxfs count="15">
    <dxf>
      <font>
        <color rgb="FF9C6500"/>
      </font>
      <fill>
        <patternFill>
          <bgColor rgb="FFFFEB9C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Light Style 1 - Accent 1" table="0" count="8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F33"/>
  <sheetViews>
    <sheetView zoomScaleNormal="100" zoomScaleSheetLayoutView="75" workbookViewId="0">
      <selection activeCell="H1" sqref="H1:AA1048576"/>
    </sheetView>
  </sheetViews>
  <sheetFormatPr defaultColWidth="8.88671875" defaultRowHeight="17.25"/>
  <cols>
    <col min="1" max="2" width="4.109375" style="14" customWidth="1"/>
    <col min="3" max="3" width="7" style="14" customWidth="1"/>
    <col min="4" max="4" width="15.77734375" style="14" customWidth="1"/>
    <col min="5" max="5" width="40.77734375" style="14" customWidth="1"/>
    <col min="6" max="6" width="12.6640625" style="15" customWidth="1"/>
    <col min="7" max="7" width="4.109375" style="14" customWidth="1"/>
    <col min="8" max="16384" width="8.88671875" style="14"/>
  </cols>
  <sheetData>
    <row r="1" spans="2:6">
      <c r="C1" s="21" t="s">
        <v>0</v>
      </c>
      <c r="D1" s="21"/>
      <c r="E1" s="21"/>
      <c r="F1" s="21"/>
    </row>
    <row r="2" spans="2:6">
      <c r="B2" s="14" t="s">
        <v>127</v>
      </c>
    </row>
    <row r="4" spans="2:6">
      <c r="B4" s="16" t="s">
        <v>9</v>
      </c>
    </row>
    <row r="5" spans="2:6">
      <c r="C5" s="17" t="s">
        <v>61</v>
      </c>
      <c r="D5" s="17" t="s">
        <v>82</v>
      </c>
      <c r="E5" s="17" t="s">
        <v>126</v>
      </c>
      <c r="F5" s="18" t="s">
        <v>71</v>
      </c>
    </row>
    <row r="6" spans="2:6">
      <c r="C6" s="19" t="s">
        <v>93</v>
      </c>
      <c r="D6" s="19" t="s">
        <v>84</v>
      </c>
      <c r="E6" s="19" t="s">
        <v>3</v>
      </c>
      <c r="F6" s="20">
        <v>592000</v>
      </c>
    </row>
    <row r="7" spans="2:6">
      <c r="C7" s="19" t="s">
        <v>73</v>
      </c>
      <c r="D7" s="19" t="s">
        <v>84</v>
      </c>
      <c r="E7" s="19" t="s">
        <v>3</v>
      </c>
      <c r="F7" s="20">
        <v>592000</v>
      </c>
    </row>
    <row r="8" spans="2:6">
      <c r="C8" s="19" t="s">
        <v>86</v>
      </c>
      <c r="D8" s="19" t="s">
        <v>120</v>
      </c>
      <c r="E8" s="19" t="s">
        <v>4</v>
      </c>
      <c r="F8" s="20">
        <v>740000</v>
      </c>
    </row>
    <row r="9" spans="2:6">
      <c r="C9" s="19" t="s">
        <v>92</v>
      </c>
      <c r="D9" s="19" t="s">
        <v>72</v>
      </c>
      <c r="E9" s="19" t="s">
        <v>128</v>
      </c>
      <c r="F9" s="20">
        <v>666000</v>
      </c>
    </row>
    <row r="10" spans="2:6">
      <c r="C10" s="19" t="s">
        <v>74</v>
      </c>
      <c r="D10" s="19" t="s">
        <v>76</v>
      </c>
      <c r="E10" s="19" t="s">
        <v>95</v>
      </c>
      <c r="F10" s="20">
        <v>0</v>
      </c>
    </row>
    <row r="11" spans="2:6">
      <c r="C11" s="19" t="s">
        <v>83</v>
      </c>
      <c r="D11" s="19" t="s">
        <v>87</v>
      </c>
      <c r="E11" s="19" t="s">
        <v>118</v>
      </c>
      <c r="F11" s="20">
        <v>222000</v>
      </c>
    </row>
    <row r="12" spans="2:6">
      <c r="C12" s="19" t="s">
        <v>88</v>
      </c>
      <c r="D12" s="19" t="s">
        <v>84</v>
      </c>
      <c r="E12" s="19" t="s">
        <v>1</v>
      </c>
      <c r="F12" s="20">
        <v>592000</v>
      </c>
    </row>
    <row r="13" spans="2:6">
      <c r="C13" s="19" t="s">
        <v>75</v>
      </c>
      <c r="D13" s="19" t="s">
        <v>124</v>
      </c>
      <c r="E13" s="19" t="s">
        <v>94</v>
      </c>
      <c r="F13" s="20">
        <f>SUM(F6:F12)</f>
        <v>3404000</v>
      </c>
    </row>
    <row r="15" spans="2:6">
      <c r="B15" s="16" t="s">
        <v>10</v>
      </c>
    </row>
    <row r="16" spans="2:6">
      <c r="C16" s="17" t="s">
        <v>61</v>
      </c>
      <c r="D16" s="17" t="s">
        <v>82</v>
      </c>
      <c r="E16" s="17" t="s">
        <v>125</v>
      </c>
      <c r="F16" s="18" t="s">
        <v>71</v>
      </c>
    </row>
    <row r="17" spans="2:6">
      <c r="C17" s="19" t="s">
        <v>93</v>
      </c>
      <c r="D17" s="19" t="s">
        <v>119</v>
      </c>
      <c r="E17" s="19" t="s">
        <v>129</v>
      </c>
      <c r="F17" s="20">
        <v>888000</v>
      </c>
    </row>
    <row r="18" spans="2:6">
      <c r="C18" s="19" t="s">
        <v>73</v>
      </c>
      <c r="D18" s="19" t="s">
        <v>84</v>
      </c>
      <c r="E18" s="19" t="s">
        <v>11</v>
      </c>
      <c r="F18" s="20">
        <v>592000</v>
      </c>
    </row>
    <row r="19" spans="2:6">
      <c r="C19" s="19" t="s">
        <v>92</v>
      </c>
      <c r="D19" s="19" t="s">
        <v>87</v>
      </c>
      <c r="E19" s="19" t="s">
        <v>117</v>
      </c>
      <c r="F19" s="20">
        <v>222000</v>
      </c>
    </row>
    <row r="20" spans="2:6">
      <c r="C20" s="19" t="s">
        <v>88</v>
      </c>
      <c r="D20" s="19" t="s">
        <v>76</v>
      </c>
      <c r="E20" s="19" t="s">
        <v>95</v>
      </c>
      <c r="F20" s="20">
        <v>0</v>
      </c>
    </row>
    <row r="21" spans="2:6">
      <c r="C21" s="19" t="s">
        <v>75</v>
      </c>
      <c r="D21" s="19" t="s">
        <v>121</v>
      </c>
      <c r="E21" s="19" t="s">
        <v>94</v>
      </c>
      <c r="F21" s="20">
        <v>1702000</v>
      </c>
    </row>
    <row r="23" spans="2:6">
      <c r="B23" s="16" t="s">
        <v>2</v>
      </c>
    </row>
    <row r="24" spans="2:6">
      <c r="C24" s="17" t="s">
        <v>61</v>
      </c>
      <c r="D24" s="17" t="s">
        <v>122</v>
      </c>
      <c r="E24" s="17" t="s">
        <v>123</v>
      </c>
    </row>
    <row r="25" spans="2:6">
      <c r="C25" s="19" t="s">
        <v>93</v>
      </c>
      <c r="D25" s="19" t="s">
        <v>7</v>
      </c>
      <c r="E25" s="19" t="s">
        <v>8</v>
      </c>
    </row>
    <row r="26" spans="2:6">
      <c r="C26" s="19" t="s">
        <v>92</v>
      </c>
      <c r="D26" s="19" t="s">
        <v>7</v>
      </c>
      <c r="E26" s="19" t="s">
        <v>6</v>
      </c>
    </row>
    <row r="27" spans="2:6">
      <c r="C27" s="19" t="s">
        <v>92</v>
      </c>
      <c r="D27" s="19" t="s">
        <v>7</v>
      </c>
      <c r="E27" s="19" t="s">
        <v>6</v>
      </c>
    </row>
    <row r="28" spans="2:6">
      <c r="C28" s="19" t="s">
        <v>92</v>
      </c>
      <c r="D28" s="19" t="s">
        <v>7</v>
      </c>
      <c r="E28" s="19" t="s">
        <v>6</v>
      </c>
    </row>
    <row r="29" spans="2:6">
      <c r="C29" s="19" t="s">
        <v>92</v>
      </c>
      <c r="D29" s="19" t="s">
        <v>5</v>
      </c>
      <c r="E29" s="19" t="s">
        <v>6</v>
      </c>
    </row>
    <row r="30" spans="2:6">
      <c r="C30" s="19" t="s">
        <v>92</v>
      </c>
      <c r="D30" s="19" t="s">
        <v>5</v>
      </c>
      <c r="E30" s="19" t="s">
        <v>6</v>
      </c>
    </row>
    <row r="31" spans="2:6">
      <c r="C31" s="19" t="s">
        <v>92</v>
      </c>
      <c r="D31" s="19" t="s">
        <v>5</v>
      </c>
      <c r="E31" s="19" t="s">
        <v>6</v>
      </c>
    </row>
    <row r="33" spans="3:6">
      <c r="C33" s="22" t="s">
        <v>104</v>
      </c>
      <c r="D33" s="22"/>
      <c r="E33" s="19" t="s">
        <v>94</v>
      </c>
      <c r="F33" s="20">
        <f>F13+F21</f>
        <v>5106000</v>
      </c>
    </row>
  </sheetData>
  <mergeCells count="2">
    <mergeCell ref="C1:F1"/>
    <mergeCell ref="C33:D33"/>
  </mergeCells>
  <phoneticPr fontId="6" type="noConversion"/>
  <pageMargins left="0.13236111402511597" right="0.25" top="0.32875001430511475" bottom="0.75" header="0.30000001192092896" footer="0.30000001192092896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AI6"/>
  <sheetViews>
    <sheetView zoomScaleNormal="100" zoomScaleSheetLayoutView="75" workbookViewId="0">
      <selection activeCell="B8" sqref="B8"/>
    </sheetView>
  </sheetViews>
  <sheetFormatPr defaultColWidth="5.33203125" defaultRowHeight="17.25"/>
  <cols>
    <col min="1" max="1" width="5.33203125" style="3"/>
    <col min="2" max="2" width="6.6640625" style="3" customWidth="1"/>
    <col min="3" max="32" width="5.33203125" style="3"/>
    <col min="33" max="33" width="7.5546875" style="3" customWidth="1"/>
    <col min="34" max="34" width="9.5546875" style="11" customWidth="1"/>
    <col min="35" max="35" width="11.109375" style="11" customWidth="1"/>
    <col min="36" max="16384" width="5.33203125" style="3"/>
  </cols>
  <sheetData>
    <row r="2" spans="1:35">
      <c r="A2" s="6" t="s">
        <v>63</v>
      </c>
      <c r="B2" s="4" t="s">
        <v>100</v>
      </c>
      <c r="C2" s="6" t="s">
        <v>12</v>
      </c>
      <c r="D2" s="6" t="s">
        <v>16</v>
      </c>
      <c r="E2" s="6" t="s">
        <v>14</v>
      </c>
      <c r="F2" s="6" t="s">
        <v>13</v>
      </c>
      <c r="G2" s="6" t="s">
        <v>15</v>
      </c>
      <c r="H2" s="6" t="s">
        <v>17</v>
      </c>
      <c r="I2" s="6" t="s">
        <v>29</v>
      </c>
      <c r="J2" s="6" t="s">
        <v>32</v>
      </c>
      <c r="K2" s="6" t="s">
        <v>33</v>
      </c>
      <c r="L2" s="6" t="s">
        <v>45</v>
      </c>
      <c r="M2" s="6" t="s">
        <v>24</v>
      </c>
      <c r="N2" s="6" t="s">
        <v>30</v>
      </c>
      <c r="O2" s="6" t="s">
        <v>36</v>
      </c>
      <c r="P2" s="6" t="s">
        <v>35</v>
      </c>
      <c r="Q2" s="6" t="s">
        <v>34</v>
      </c>
      <c r="R2" s="6" t="s">
        <v>21</v>
      </c>
      <c r="S2" s="6" t="s">
        <v>37</v>
      </c>
      <c r="T2" s="6" t="s">
        <v>44</v>
      </c>
      <c r="U2" s="6" t="s">
        <v>43</v>
      </c>
      <c r="V2" s="6" t="s">
        <v>31</v>
      </c>
      <c r="W2" s="6" t="s">
        <v>39</v>
      </c>
      <c r="X2" s="6" t="s">
        <v>19</v>
      </c>
      <c r="Y2" s="6" t="s">
        <v>28</v>
      </c>
      <c r="Z2" s="6" t="s">
        <v>25</v>
      </c>
      <c r="AA2" s="6" t="s">
        <v>38</v>
      </c>
      <c r="AB2" s="6" t="s">
        <v>22</v>
      </c>
      <c r="AC2" s="6" t="s">
        <v>23</v>
      </c>
      <c r="AD2" s="6" t="s">
        <v>42</v>
      </c>
      <c r="AE2" s="6" t="s">
        <v>40</v>
      </c>
      <c r="AF2" s="6" t="s">
        <v>41</v>
      </c>
      <c r="AG2" s="4" t="s">
        <v>106</v>
      </c>
      <c r="AH2" s="10" t="s">
        <v>103</v>
      </c>
      <c r="AI2" s="10" t="s">
        <v>101</v>
      </c>
    </row>
    <row r="3" spans="1:35">
      <c r="A3" s="6">
        <v>3</v>
      </c>
      <c r="B3" s="4" t="s">
        <v>18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>
        <v>1</v>
      </c>
      <c r="AF3" s="6">
        <v>1</v>
      </c>
      <c r="AG3" s="6">
        <f>SUM(C3:AF3)</f>
        <v>2</v>
      </c>
      <c r="AH3" s="9">
        <v>140000</v>
      </c>
      <c r="AI3" s="9">
        <f>AG3*AH3</f>
        <v>280000</v>
      </c>
    </row>
    <row r="4" spans="1:35">
      <c r="A4" s="6">
        <v>4</v>
      </c>
      <c r="B4" s="4" t="s">
        <v>47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>
        <v>1</v>
      </c>
      <c r="W4" s="6"/>
      <c r="X4" s="6"/>
      <c r="Y4" s="6">
        <v>1</v>
      </c>
      <c r="Z4" s="6"/>
      <c r="AA4" s="6">
        <v>1</v>
      </c>
      <c r="AB4" s="6"/>
      <c r="AC4" s="6">
        <v>1</v>
      </c>
      <c r="AD4" s="6">
        <v>1</v>
      </c>
      <c r="AE4" s="6"/>
      <c r="AF4" s="6"/>
      <c r="AG4" s="6">
        <f>SUM(C4:AF4)</f>
        <v>5</v>
      </c>
      <c r="AH4" s="9">
        <v>150000</v>
      </c>
      <c r="AI4" s="9">
        <f>AG4*AH4</f>
        <v>750000</v>
      </c>
    </row>
    <row r="5" spans="1:35">
      <c r="A5" s="6">
        <v>5</v>
      </c>
      <c r="B5" s="4" t="s">
        <v>46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>
        <v>1</v>
      </c>
      <c r="AA5" s="6"/>
      <c r="AB5" s="6"/>
      <c r="AC5" s="6"/>
      <c r="AD5" s="6"/>
      <c r="AE5" s="6"/>
      <c r="AF5" s="6"/>
      <c r="AG5" s="6">
        <f>SUM(C5:AF5)</f>
        <v>1</v>
      </c>
      <c r="AH5" s="9">
        <v>150000</v>
      </c>
      <c r="AI5" s="9">
        <f>AG5*AH5</f>
        <v>150000</v>
      </c>
    </row>
    <row r="6" spans="1:35">
      <c r="A6" s="23" t="s">
        <v>52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13">
        <f>SUM(AG3:AG5)</f>
        <v>8</v>
      </c>
      <c r="AH6" s="12"/>
      <c r="AI6" s="9">
        <f>SUM(AI3:AI5)</f>
        <v>1180000</v>
      </c>
    </row>
  </sheetData>
  <mergeCells count="1">
    <mergeCell ref="A6:AF6"/>
  </mergeCells>
  <phoneticPr fontId="6" type="noConversion"/>
  <pageMargins left="0.69999998807907104" right="0.69999998807907104" top="0.75" bottom="0.75" header="0.51180553436279297" footer="0.5118055343627929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M83"/>
  <sheetViews>
    <sheetView tabSelected="1" zoomScaleNormal="100" zoomScaleSheetLayoutView="75" workbookViewId="0">
      <selection activeCell="A8" sqref="A8"/>
    </sheetView>
  </sheetViews>
  <sheetFormatPr defaultColWidth="8.44140625" defaultRowHeight="17.25"/>
  <cols>
    <col min="1" max="1" width="12.109375" style="3" bestFit="1" customWidth="1"/>
    <col min="2" max="8" width="8.88671875" style="3" customWidth="1"/>
    <col min="9" max="9" width="27.44140625" style="3" customWidth="1"/>
    <col min="10" max="10" width="8" style="1" customWidth="1"/>
    <col min="11" max="12" width="12" style="1" customWidth="1"/>
    <col min="13" max="13" width="6" style="1" customWidth="1"/>
  </cols>
  <sheetData>
    <row r="1" spans="1:13" ht="18.75" customHeight="1">
      <c r="A1" s="3" t="s">
        <v>96</v>
      </c>
    </row>
    <row r="2" spans="1:13" ht="18.75" customHeight="1">
      <c r="A2" s="4" t="s">
        <v>63</v>
      </c>
      <c r="B2" s="4" t="s">
        <v>54</v>
      </c>
      <c r="C2" s="4" t="s">
        <v>61</v>
      </c>
      <c r="D2" s="4" t="s">
        <v>53</v>
      </c>
      <c r="E2" s="4" t="s">
        <v>55</v>
      </c>
      <c r="F2" s="4" t="s">
        <v>70</v>
      </c>
      <c r="G2" s="4" t="s">
        <v>69</v>
      </c>
      <c r="H2" s="4" t="s">
        <v>80</v>
      </c>
      <c r="I2" s="4" t="s">
        <v>79</v>
      </c>
      <c r="J2" s="5" t="s">
        <v>68</v>
      </c>
      <c r="K2" s="5" t="s">
        <v>50</v>
      </c>
      <c r="L2" s="5" t="s">
        <v>71</v>
      </c>
      <c r="M2" s="5" t="s">
        <v>62</v>
      </c>
    </row>
    <row r="3" spans="1:13" ht="18.75" customHeight="1">
      <c r="A3" s="6">
        <v>1</v>
      </c>
      <c r="B3" s="4" t="s">
        <v>26</v>
      </c>
      <c r="C3" s="6" t="s">
        <v>27</v>
      </c>
      <c r="D3" s="6" t="s">
        <v>102</v>
      </c>
      <c r="E3" s="6" t="s">
        <v>60</v>
      </c>
      <c r="F3" s="6" t="s">
        <v>89</v>
      </c>
      <c r="G3" s="6" t="s">
        <v>65</v>
      </c>
      <c r="H3" s="6" t="s">
        <v>78</v>
      </c>
      <c r="I3" s="6" t="str">
        <f t="shared" ref="I3:I34" si="0">D3&amp;"("&amp;C3&amp;"/"&amp;E3&amp;"/"&amp;F3&amp;"/"&amp;G3&amp;")"</f>
        <v>4월1일(1동/2층/1호/2명)</v>
      </c>
      <c r="J3" s="7">
        <f t="shared" ref="J3:J34" si="1">VALUE(LEFT(G3,LEN(G3)-1))</f>
        <v>2</v>
      </c>
      <c r="K3" s="8">
        <f t="shared" ref="K3:K34" si="2">IF(H3="2차",148000,74000)</f>
        <v>74000</v>
      </c>
      <c r="L3" s="8">
        <f t="shared" ref="L3:L34" si="3">K3</f>
        <v>74000</v>
      </c>
      <c r="M3" s="2">
        <f t="shared" ref="M3:M34" si="4">IFERROR(VALUE(LEFT(D3,FIND("월",D3)-1)),"")</f>
        <v>4</v>
      </c>
    </row>
    <row r="4" spans="1:13" ht="18.75" customHeight="1">
      <c r="A4" s="6">
        <v>2</v>
      </c>
      <c r="B4" s="4" t="s">
        <v>26</v>
      </c>
      <c r="C4" s="6" t="s">
        <v>27</v>
      </c>
      <c r="D4" s="6" t="s">
        <v>102</v>
      </c>
      <c r="E4" s="6" t="s">
        <v>60</v>
      </c>
      <c r="F4" s="6" t="s">
        <v>85</v>
      </c>
      <c r="G4" s="6" t="s">
        <v>65</v>
      </c>
      <c r="H4" s="6" t="s">
        <v>78</v>
      </c>
      <c r="I4" s="6" t="str">
        <f t="shared" si="0"/>
        <v>4월1일(1동/2층/2호/2명)</v>
      </c>
      <c r="J4" s="7">
        <f t="shared" si="1"/>
        <v>2</v>
      </c>
      <c r="K4" s="8">
        <f t="shared" si="2"/>
        <v>74000</v>
      </c>
      <c r="L4" s="8">
        <f t="shared" si="3"/>
        <v>74000</v>
      </c>
      <c r="M4" s="2">
        <f t="shared" si="4"/>
        <v>4</v>
      </c>
    </row>
    <row r="5" spans="1:13" ht="18.75" customHeight="1">
      <c r="A5" s="6">
        <v>3</v>
      </c>
      <c r="B5" s="4" t="s">
        <v>26</v>
      </c>
      <c r="C5" s="6" t="s">
        <v>27</v>
      </c>
      <c r="D5" s="6" t="s">
        <v>116</v>
      </c>
      <c r="E5" s="6" t="s">
        <v>58</v>
      </c>
      <c r="F5" s="6" t="s">
        <v>89</v>
      </c>
      <c r="G5" s="6" t="s">
        <v>65</v>
      </c>
      <c r="H5" s="6" t="s">
        <v>78</v>
      </c>
      <c r="I5" s="6" t="str">
        <f t="shared" si="0"/>
        <v>4월2일(1동/3층/1호/2명)</v>
      </c>
      <c r="J5" s="7">
        <f t="shared" si="1"/>
        <v>2</v>
      </c>
      <c r="K5" s="8">
        <f t="shared" si="2"/>
        <v>74000</v>
      </c>
      <c r="L5" s="8">
        <f t="shared" si="3"/>
        <v>74000</v>
      </c>
      <c r="M5" s="2">
        <f t="shared" si="4"/>
        <v>4</v>
      </c>
    </row>
    <row r="6" spans="1:13" ht="18.75" customHeight="1">
      <c r="A6" s="6">
        <v>4</v>
      </c>
      <c r="B6" s="4" t="s">
        <v>26</v>
      </c>
      <c r="C6" s="6" t="s">
        <v>27</v>
      </c>
      <c r="D6" s="6" t="s">
        <v>116</v>
      </c>
      <c r="E6" s="6" t="s">
        <v>58</v>
      </c>
      <c r="F6" s="6" t="s">
        <v>85</v>
      </c>
      <c r="G6" s="6" t="s">
        <v>65</v>
      </c>
      <c r="H6" s="6" t="s">
        <v>78</v>
      </c>
      <c r="I6" s="6" t="str">
        <f t="shared" si="0"/>
        <v>4월2일(1동/3층/2호/2명)</v>
      </c>
      <c r="J6" s="7">
        <f t="shared" si="1"/>
        <v>2</v>
      </c>
      <c r="K6" s="8">
        <f t="shared" si="2"/>
        <v>74000</v>
      </c>
      <c r="L6" s="8">
        <f t="shared" si="3"/>
        <v>74000</v>
      </c>
      <c r="M6" s="2">
        <f t="shared" si="4"/>
        <v>4</v>
      </c>
    </row>
    <row r="7" spans="1:13" ht="18.75" customHeight="1">
      <c r="A7" s="6">
        <v>5</v>
      </c>
      <c r="B7" s="4" t="s">
        <v>26</v>
      </c>
      <c r="C7" s="6" t="s">
        <v>56</v>
      </c>
      <c r="D7" s="6" t="s">
        <v>111</v>
      </c>
      <c r="E7" s="6" t="s">
        <v>58</v>
      </c>
      <c r="F7" s="6" t="s">
        <v>81</v>
      </c>
      <c r="G7" s="6" t="s">
        <v>65</v>
      </c>
      <c r="H7" s="6" t="s">
        <v>78</v>
      </c>
      <c r="I7" s="6" t="str">
        <f t="shared" si="0"/>
        <v>4월4일(2동/3층/3호/2명)</v>
      </c>
      <c r="J7" s="7">
        <f t="shared" si="1"/>
        <v>2</v>
      </c>
      <c r="K7" s="8">
        <f t="shared" si="2"/>
        <v>74000</v>
      </c>
      <c r="L7" s="8">
        <f t="shared" si="3"/>
        <v>74000</v>
      </c>
      <c r="M7" s="2">
        <f t="shared" si="4"/>
        <v>4</v>
      </c>
    </row>
    <row r="8" spans="1:13" ht="18.75" customHeight="1">
      <c r="A8" s="6">
        <v>6</v>
      </c>
      <c r="B8" s="4" t="s">
        <v>26</v>
      </c>
      <c r="C8" s="6" t="s">
        <v>56</v>
      </c>
      <c r="D8" s="6" t="s">
        <v>111</v>
      </c>
      <c r="E8" s="6" t="s">
        <v>58</v>
      </c>
      <c r="F8" s="6" t="s">
        <v>77</v>
      </c>
      <c r="G8" s="6" t="s">
        <v>65</v>
      </c>
      <c r="H8" s="6" t="s">
        <v>78</v>
      </c>
      <c r="I8" s="6" t="str">
        <f t="shared" si="0"/>
        <v>4월4일(2동/3층/4호/2명)</v>
      </c>
      <c r="J8" s="7">
        <f t="shared" si="1"/>
        <v>2</v>
      </c>
      <c r="K8" s="8">
        <f t="shared" si="2"/>
        <v>74000</v>
      </c>
      <c r="L8" s="8">
        <f t="shared" si="3"/>
        <v>74000</v>
      </c>
      <c r="M8" s="2">
        <f t="shared" si="4"/>
        <v>4</v>
      </c>
    </row>
    <row r="9" spans="1:13" ht="18.75" customHeight="1">
      <c r="A9" s="6">
        <v>7</v>
      </c>
      <c r="B9" s="4" t="s">
        <v>26</v>
      </c>
      <c r="C9" s="6" t="s">
        <v>56</v>
      </c>
      <c r="D9" s="6" t="s">
        <v>111</v>
      </c>
      <c r="E9" s="6" t="s">
        <v>59</v>
      </c>
      <c r="F9" s="6" t="s">
        <v>89</v>
      </c>
      <c r="G9" s="6" t="s">
        <v>65</v>
      </c>
      <c r="H9" s="6" t="s">
        <v>78</v>
      </c>
      <c r="I9" s="6" t="str">
        <f t="shared" si="0"/>
        <v>4월4일(2동/4층/1호/2명)</v>
      </c>
      <c r="J9" s="7">
        <f t="shared" si="1"/>
        <v>2</v>
      </c>
      <c r="K9" s="8">
        <f t="shared" si="2"/>
        <v>74000</v>
      </c>
      <c r="L9" s="8">
        <f t="shared" si="3"/>
        <v>74000</v>
      </c>
      <c r="M9" s="2">
        <f t="shared" si="4"/>
        <v>4</v>
      </c>
    </row>
    <row r="10" spans="1:13" ht="18.75" customHeight="1">
      <c r="A10" s="6">
        <v>8</v>
      </c>
      <c r="B10" s="4" t="s">
        <v>26</v>
      </c>
      <c r="C10" s="6" t="s">
        <v>56</v>
      </c>
      <c r="D10" s="6" t="s">
        <v>111</v>
      </c>
      <c r="E10" s="6" t="s">
        <v>59</v>
      </c>
      <c r="F10" s="6" t="s">
        <v>85</v>
      </c>
      <c r="G10" s="6" t="s">
        <v>65</v>
      </c>
      <c r="H10" s="6" t="s">
        <v>78</v>
      </c>
      <c r="I10" s="6" t="str">
        <f t="shared" si="0"/>
        <v>4월4일(2동/4층/2호/2명)</v>
      </c>
      <c r="J10" s="7">
        <f t="shared" si="1"/>
        <v>2</v>
      </c>
      <c r="K10" s="8">
        <f t="shared" si="2"/>
        <v>74000</v>
      </c>
      <c r="L10" s="8">
        <f t="shared" si="3"/>
        <v>74000</v>
      </c>
      <c r="M10" s="2">
        <f t="shared" si="4"/>
        <v>4</v>
      </c>
    </row>
    <row r="11" spans="1:13" ht="18.75" customHeight="1">
      <c r="A11" s="6">
        <v>9</v>
      </c>
      <c r="B11" s="4" t="s">
        <v>26</v>
      </c>
      <c r="C11" s="6" t="s">
        <v>56</v>
      </c>
      <c r="D11" s="6" t="s">
        <v>111</v>
      </c>
      <c r="E11" s="6" t="s">
        <v>59</v>
      </c>
      <c r="F11" s="6" t="s">
        <v>81</v>
      </c>
      <c r="G11" s="6" t="s">
        <v>65</v>
      </c>
      <c r="H11" s="6" t="s">
        <v>78</v>
      </c>
      <c r="I11" s="6" t="str">
        <f t="shared" si="0"/>
        <v>4월4일(2동/4층/3호/2명)</v>
      </c>
      <c r="J11" s="7">
        <f t="shared" si="1"/>
        <v>2</v>
      </c>
      <c r="K11" s="8">
        <f t="shared" si="2"/>
        <v>74000</v>
      </c>
      <c r="L11" s="8">
        <f t="shared" si="3"/>
        <v>74000</v>
      </c>
      <c r="M11" s="2">
        <f t="shared" si="4"/>
        <v>4</v>
      </c>
    </row>
    <row r="12" spans="1:13" ht="18.75" customHeight="1">
      <c r="A12" s="6">
        <v>10</v>
      </c>
      <c r="B12" s="4" t="s">
        <v>26</v>
      </c>
      <c r="C12" s="6" t="s">
        <v>56</v>
      </c>
      <c r="D12" s="6" t="s">
        <v>111</v>
      </c>
      <c r="E12" s="6" t="s">
        <v>59</v>
      </c>
      <c r="F12" s="6" t="s">
        <v>77</v>
      </c>
      <c r="G12" s="6" t="s">
        <v>65</v>
      </c>
      <c r="H12" s="6" t="s">
        <v>78</v>
      </c>
      <c r="I12" s="6" t="str">
        <f t="shared" si="0"/>
        <v>4월4일(2동/4층/4호/2명)</v>
      </c>
      <c r="J12" s="7">
        <f t="shared" si="1"/>
        <v>2</v>
      </c>
      <c r="K12" s="8">
        <f t="shared" si="2"/>
        <v>74000</v>
      </c>
      <c r="L12" s="8">
        <f t="shared" si="3"/>
        <v>74000</v>
      </c>
      <c r="M12" s="2">
        <f t="shared" si="4"/>
        <v>4</v>
      </c>
    </row>
    <row r="13" spans="1:13" ht="18.75" customHeight="1">
      <c r="A13" s="6">
        <v>11</v>
      </c>
      <c r="B13" s="4" t="s">
        <v>26</v>
      </c>
      <c r="C13" s="6" t="s">
        <v>56</v>
      </c>
      <c r="D13" s="6" t="s">
        <v>108</v>
      </c>
      <c r="E13" s="6" t="s">
        <v>60</v>
      </c>
      <c r="F13" s="6" t="s">
        <v>81</v>
      </c>
      <c r="G13" s="6" t="s">
        <v>65</v>
      </c>
      <c r="H13" s="6" t="s">
        <v>78</v>
      </c>
      <c r="I13" s="6" t="str">
        <f t="shared" si="0"/>
        <v>4월7일(2동/2층/3호/2명)</v>
      </c>
      <c r="J13" s="7">
        <f t="shared" si="1"/>
        <v>2</v>
      </c>
      <c r="K13" s="8">
        <f t="shared" si="2"/>
        <v>74000</v>
      </c>
      <c r="L13" s="8">
        <f t="shared" si="3"/>
        <v>74000</v>
      </c>
      <c r="M13" s="2">
        <f t="shared" si="4"/>
        <v>4</v>
      </c>
    </row>
    <row r="14" spans="1:13" ht="18.75" customHeight="1">
      <c r="A14" s="6">
        <v>12</v>
      </c>
      <c r="B14" s="4" t="s">
        <v>26</v>
      </c>
      <c r="C14" s="6" t="s">
        <v>56</v>
      </c>
      <c r="D14" s="6" t="s">
        <v>108</v>
      </c>
      <c r="E14" s="6" t="s">
        <v>60</v>
      </c>
      <c r="F14" s="6" t="s">
        <v>77</v>
      </c>
      <c r="G14" s="6" t="s">
        <v>65</v>
      </c>
      <c r="H14" s="6" t="s">
        <v>78</v>
      </c>
      <c r="I14" s="6" t="str">
        <f t="shared" si="0"/>
        <v>4월7일(2동/2층/4호/2명)</v>
      </c>
      <c r="J14" s="7">
        <f t="shared" si="1"/>
        <v>2</v>
      </c>
      <c r="K14" s="8">
        <f t="shared" si="2"/>
        <v>74000</v>
      </c>
      <c r="L14" s="8">
        <f t="shared" si="3"/>
        <v>74000</v>
      </c>
      <c r="M14" s="2">
        <f t="shared" si="4"/>
        <v>4</v>
      </c>
    </row>
    <row r="15" spans="1:13" ht="18.75" customHeight="1">
      <c r="A15" s="6">
        <v>13</v>
      </c>
      <c r="B15" s="4" t="s">
        <v>26</v>
      </c>
      <c r="C15" s="6" t="s">
        <v>27</v>
      </c>
      <c r="D15" s="6" t="s">
        <v>115</v>
      </c>
      <c r="E15" s="6" t="s">
        <v>51</v>
      </c>
      <c r="F15" s="6" t="s">
        <v>89</v>
      </c>
      <c r="G15" s="6" t="s">
        <v>65</v>
      </c>
      <c r="H15" s="6" t="s">
        <v>78</v>
      </c>
      <c r="I15" s="6" t="str">
        <f t="shared" si="0"/>
        <v>4월8일(1동/5층/1호/2명)</v>
      </c>
      <c r="J15" s="7">
        <f t="shared" si="1"/>
        <v>2</v>
      </c>
      <c r="K15" s="8">
        <f t="shared" si="2"/>
        <v>74000</v>
      </c>
      <c r="L15" s="8">
        <f t="shared" si="3"/>
        <v>74000</v>
      </c>
      <c r="M15" s="2">
        <f t="shared" si="4"/>
        <v>4</v>
      </c>
    </row>
    <row r="16" spans="1:13" ht="18.75" customHeight="1">
      <c r="A16" s="6">
        <v>14</v>
      </c>
      <c r="B16" s="4" t="s">
        <v>26</v>
      </c>
      <c r="C16" s="6" t="s">
        <v>27</v>
      </c>
      <c r="D16" s="6" t="s">
        <v>115</v>
      </c>
      <c r="E16" s="6" t="s">
        <v>59</v>
      </c>
      <c r="F16" s="6" t="s">
        <v>89</v>
      </c>
      <c r="G16" s="6" t="s">
        <v>65</v>
      </c>
      <c r="H16" s="6" t="s">
        <v>78</v>
      </c>
      <c r="I16" s="6" t="str">
        <f t="shared" si="0"/>
        <v>4월8일(1동/4층/1호/2명)</v>
      </c>
      <c r="J16" s="7">
        <f t="shared" si="1"/>
        <v>2</v>
      </c>
      <c r="K16" s="8">
        <f t="shared" si="2"/>
        <v>74000</v>
      </c>
      <c r="L16" s="8">
        <f t="shared" si="3"/>
        <v>74000</v>
      </c>
      <c r="M16" s="2">
        <f t="shared" si="4"/>
        <v>4</v>
      </c>
    </row>
    <row r="17" spans="1:13" ht="18.75" customHeight="1">
      <c r="A17" s="6">
        <v>15</v>
      </c>
      <c r="B17" s="4" t="s">
        <v>26</v>
      </c>
      <c r="C17" s="6" t="s">
        <v>27</v>
      </c>
      <c r="D17" s="6" t="s">
        <v>115</v>
      </c>
      <c r="E17" s="6" t="s">
        <v>58</v>
      </c>
      <c r="F17" s="6" t="s">
        <v>89</v>
      </c>
      <c r="G17" s="6" t="s">
        <v>65</v>
      </c>
      <c r="H17" s="6" t="s">
        <v>78</v>
      </c>
      <c r="I17" s="6" t="str">
        <f t="shared" si="0"/>
        <v>4월8일(1동/3층/1호/2명)</v>
      </c>
      <c r="J17" s="7">
        <f t="shared" si="1"/>
        <v>2</v>
      </c>
      <c r="K17" s="8">
        <f t="shared" si="2"/>
        <v>74000</v>
      </c>
      <c r="L17" s="8">
        <f t="shared" si="3"/>
        <v>74000</v>
      </c>
      <c r="M17" s="2">
        <f t="shared" si="4"/>
        <v>4</v>
      </c>
    </row>
    <row r="18" spans="1:13" ht="18.75" customHeight="1">
      <c r="A18" s="6">
        <v>16</v>
      </c>
      <c r="B18" s="4" t="s">
        <v>26</v>
      </c>
      <c r="C18" s="6" t="s">
        <v>27</v>
      </c>
      <c r="D18" s="6" t="s">
        <v>115</v>
      </c>
      <c r="E18" s="6" t="s">
        <v>60</v>
      </c>
      <c r="F18" s="6" t="s">
        <v>89</v>
      </c>
      <c r="G18" s="6" t="s">
        <v>65</v>
      </c>
      <c r="H18" s="6" t="s">
        <v>78</v>
      </c>
      <c r="I18" s="6" t="str">
        <f t="shared" si="0"/>
        <v>4월8일(1동/2층/1호/2명)</v>
      </c>
      <c r="J18" s="7">
        <f t="shared" si="1"/>
        <v>2</v>
      </c>
      <c r="K18" s="8">
        <f t="shared" si="2"/>
        <v>74000</v>
      </c>
      <c r="L18" s="8">
        <f t="shared" si="3"/>
        <v>74000</v>
      </c>
      <c r="M18" s="2">
        <f t="shared" si="4"/>
        <v>4</v>
      </c>
    </row>
    <row r="19" spans="1:13" ht="18.75" customHeight="1">
      <c r="A19" s="6">
        <v>17</v>
      </c>
      <c r="B19" s="4" t="s">
        <v>26</v>
      </c>
      <c r="C19" s="6" t="s">
        <v>27</v>
      </c>
      <c r="D19" s="6" t="s">
        <v>115</v>
      </c>
      <c r="E19" s="6" t="s">
        <v>51</v>
      </c>
      <c r="F19" s="6" t="s">
        <v>85</v>
      </c>
      <c r="G19" s="6" t="s">
        <v>65</v>
      </c>
      <c r="H19" s="6" t="s">
        <v>78</v>
      </c>
      <c r="I19" s="6" t="str">
        <f t="shared" si="0"/>
        <v>4월8일(1동/5층/2호/2명)</v>
      </c>
      <c r="J19" s="7">
        <f t="shared" si="1"/>
        <v>2</v>
      </c>
      <c r="K19" s="8">
        <f t="shared" si="2"/>
        <v>74000</v>
      </c>
      <c r="L19" s="8">
        <f t="shared" si="3"/>
        <v>74000</v>
      </c>
      <c r="M19" s="2">
        <f t="shared" si="4"/>
        <v>4</v>
      </c>
    </row>
    <row r="20" spans="1:13" ht="18.75" customHeight="1">
      <c r="A20" s="6">
        <v>18</v>
      </c>
      <c r="B20" s="4" t="s">
        <v>26</v>
      </c>
      <c r="C20" s="6" t="s">
        <v>27</v>
      </c>
      <c r="D20" s="6" t="s">
        <v>115</v>
      </c>
      <c r="E20" s="6" t="s">
        <v>59</v>
      </c>
      <c r="F20" s="6" t="s">
        <v>85</v>
      </c>
      <c r="G20" s="6" t="s">
        <v>65</v>
      </c>
      <c r="H20" s="6" t="s">
        <v>78</v>
      </c>
      <c r="I20" s="6" t="str">
        <f t="shared" si="0"/>
        <v>4월8일(1동/4층/2호/2명)</v>
      </c>
      <c r="J20" s="7">
        <f t="shared" si="1"/>
        <v>2</v>
      </c>
      <c r="K20" s="8">
        <f t="shared" si="2"/>
        <v>74000</v>
      </c>
      <c r="L20" s="8">
        <f t="shared" si="3"/>
        <v>74000</v>
      </c>
      <c r="M20" s="2">
        <f t="shared" si="4"/>
        <v>4</v>
      </c>
    </row>
    <row r="21" spans="1:13" ht="18.75" customHeight="1">
      <c r="A21" s="6">
        <v>19</v>
      </c>
      <c r="B21" s="4" t="s">
        <v>26</v>
      </c>
      <c r="C21" s="6" t="s">
        <v>27</v>
      </c>
      <c r="D21" s="6" t="s">
        <v>115</v>
      </c>
      <c r="E21" s="6" t="s">
        <v>58</v>
      </c>
      <c r="F21" s="6" t="s">
        <v>85</v>
      </c>
      <c r="G21" s="6" t="s">
        <v>65</v>
      </c>
      <c r="H21" s="6" t="s">
        <v>78</v>
      </c>
      <c r="I21" s="6" t="str">
        <f t="shared" si="0"/>
        <v>4월8일(1동/3층/2호/2명)</v>
      </c>
      <c r="J21" s="7">
        <f t="shared" si="1"/>
        <v>2</v>
      </c>
      <c r="K21" s="8">
        <f t="shared" si="2"/>
        <v>74000</v>
      </c>
      <c r="L21" s="8">
        <f t="shared" si="3"/>
        <v>74000</v>
      </c>
      <c r="M21" s="2">
        <f t="shared" si="4"/>
        <v>4</v>
      </c>
    </row>
    <row r="22" spans="1:13" ht="18.75" customHeight="1">
      <c r="A22" s="6">
        <v>20</v>
      </c>
      <c r="B22" s="4" t="s">
        <v>26</v>
      </c>
      <c r="C22" s="6" t="s">
        <v>27</v>
      </c>
      <c r="D22" s="6" t="s">
        <v>115</v>
      </c>
      <c r="E22" s="6" t="s">
        <v>60</v>
      </c>
      <c r="F22" s="6" t="s">
        <v>85</v>
      </c>
      <c r="G22" s="6" t="s">
        <v>65</v>
      </c>
      <c r="H22" s="6" t="s">
        <v>78</v>
      </c>
      <c r="I22" s="6" t="str">
        <f t="shared" si="0"/>
        <v>4월8일(1동/2층/2호/2명)</v>
      </c>
      <c r="J22" s="7">
        <f t="shared" si="1"/>
        <v>2</v>
      </c>
      <c r="K22" s="8">
        <f t="shared" si="2"/>
        <v>74000</v>
      </c>
      <c r="L22" s="8">
        <f t="shared" si="3"/>
        <v>74000</v>
      </c>
      <c r="M22" s="2">
        <f t="shared" si="4"/>
        <v>4</v>
      </c>
    </row>
    <row r="23" spans="1:13" ht="18.75" customHeight="1">
      <c r="A23" s="6">
        <v>21</v>
      </c>
      <c r="B23" s="4" t="s">
        <v>26</v>
      </c>
      <c r="C23" s="6" t="s">
        <v>66</v>
      </c>
      <c r="D23" s="6" t="s">
        <v>115</v>
      </c>
      <c r="E23" s="6" t="s">
        <v>48</v>
      </c>
      <c r="F23" s="6" t="s">
        <v>89</v>
      </c>
      <c r="G23" s="6" t="s">
        <v>65</v>
      </c>
      <c r="H23" s="6" t="s">
        <v>78</v>
      </c>
      <c r="I23" s="6" t="str">
        <f t="shared" si="0"/>
        <v>4월8일(4동/1층/1호/2명)</v>
      </c>
      <c r="J23" s="7">
        <f t="shared" si="1"/>
        <v>2</v>
      </c>
      <c r="K23" s="8">
        <f t="shared" si="2"/>
        <v>74000</v>
      </c>
      <c r="L23" s="8">
        <f t="shared" si="3"/>
        <v>74000</v>
      </c>
      <c r="M23" s="2">
        <f t="shared" si="4"/>
        <v>4</v>
      </c>
    </row>
    <row r="24" spans="1:13" ht="18.75" customHeight="1">
      <c r="A24" s="6">
        <v>22</v>
      </c>
      <c r="B24" s="4" t="s">
        <v>26</v>
      </c>
      <c r="C24" s="6" t="s">
        <v>66</v>
      </c>
      <c r="D24" s="6" t="s">
        <v>115</v>
      </c>
      <c r="E24" s="6" t="s">
        <v>48</v>
      </c>
      <c r="F24" s="6" t="s">
        <v>85</v>
      </c>
      <c r="G24" s="6" t="s">
        <v>65</v>
      </c>
      <c r="H24" s="6" t="s">
        <v>78</v>
      </c>
      <c r="I24" s="6" t="str">
        <f t="shared" si="0"/>
        <v>4월8일(4동/1층/2호/2명)</v>
      </c>
      <c r="J24" s="7">
        <f t="shared" si="1"/>
        <v>2</v>
      </c>
      <c r="K24" s="8">
        <f t="shared" si="2"/>
        <v>74000</v>
      </c>
      <c r="L24" s="8">
        <f t="shared" si="3"/>
        <v>74000</v>
      </c>
      <c r="M24" s="2">
        <f t="shared" si="4"/>
        <v>4</v>
      </c>
    </row>
    <row r="25" spans="1:13" ht="18.75" customHeight="1">
      <c r="A25" s="6">
        <v>23</v>
      </c>
      <c r="B25" s="4" t="s">
        <v>26</v>
      </c>
      <c r="C25" s="6" t="s">
        <v>66</v>
      </c>
      <c r="D25" s="6" t="s">
        <v>114</v>
      </c>
      <c r="E25" s="4" t="s">
        <v>98</v>
      </c>
      <c r="F25" s="6" t="s">
        <v>89</v>
      </c>
      <c r="G25" s="6" t="s">
        <v>65</v>
      </c>
      <c r="H25" s="4" t="s">
        <v>91</v>
      </c>
      <c r="I25" s="6" t="str">
        <f t="shared" si="0"/>
        <v>4월9일(4동/지하1층/1호/2명)</v>
      </c>
      <c r="J25" s="7">
        <f t="shared" si="1"/>
        <v>2</v>
      </c>
      <c r="K25" s="8">
        <f t="shared" si="2"/>
        <v>74000</v>
      </c>
      <c r="L25" s="8">
        <f t="shared" si="3"/>
        <v>74000</v>
      </c>
      <c r="M25" s="2">
        <f t="shared" si="4"/>
        <v>4</v>
      </c>
    </row>
    <row r="26" spans="1:13" ht="18.75" customHeight="1">
      <c r="A26" s="6">
        <v>24</v>
      </c>
      <c r="B26" s="4" t="s">
        <v>26</v>
      </c>
      <c r="C26" s="6" t="s">
        <v>66</v>
      </c>
      <c r="D26" s="6" t="s">
        <v>114</v>
      </c>
      <c r="E26" s="4" t="s">
        <v>105</v>
      </c>
      <c r="F26" s="6" t="s">
        <v>89</v>
      </c>
      <c r="G26" s="6" t="s">
        <v>65</v>
      </c>
      <c r="H26" s="4" t="s">
        <v>91</v>
      </c>
      <c r="I26" s="6" t="str">
        <f t="shared" si="0"/>
        <v>4월9일(4동/지하2층/1호/2명)</v>
      </c>
      <c r="J26" s="7">
        <f t="shared" si="1"/>
        <v>2</v>
      </c>
      <c r="K26" s="8">
        <f t="shared" si="2"/>
        <v>74000</v>
      </c>
      <c r="L26" s="8">
        <f t="shared" si="3"/>
        <v>74000</v>
      </c>
      <c r="M26" s="2">
        <f t="shared" si="4"/>
        <v>4</v>
      </c>
    </row>
    <row r="27" spans="1:13" ht="18.75" customHeight="1">
      <c r="A27" s="6">
        <v>25</v>
      </c>
      <c r="B27" s="4" t="s">
        <v>26</v>
      </c>
      <c r="C27" s="6" t="s">
        <v>27</v>
      </c>
      <c r="D27" s="6" t="s">
        <v>113</v>
      </c>
      <c r="E27" s="6" t="s">
        <v>51</v>
      </c>
      <c r="F27" s="6" t="s">
        <v>81</v>
      </c>
      <c r="G27" s="6" t="s">
        <v>65</v>
      </c>
      <c r="H27" s="6" t="s">
        <v>78</v>
      </c>
      <c r="I27" s="6" t="str">
        <f t="shared" si="0"/>
        <v>4월10일(1동/5층/3호/2명)</v>
      </c>
      <c r="J27" s="7">
        <f t="shared" si="1"/>
        <v>2</v>
      </c>
      <c r="K27" s="8">
        <f t="shared" si="2"/>
        <v>74000</v>
      </c>
      <c r="L27" s="8">
        <f t="shared" si="3"/>
        <v>74000</v>
      </c>
      <c r="M27" s="2">
        <f t="shared" si="4"/>
        <v>4</v>
      </c>
    </row>
    <row r="28" spans="1:13" ht="18.75" customHeight="1">
      <c r="A28" s="6">
        <v>26</v>
      </c>
      <c r="B28" s="4" t="s">
        <v>26</v>
      </c>
      <c r="C28" s="6" t="s">
        <v>27</v>
      </c>
      <c r="D28" s="6" t="s">
        <v>113</v>
      </c>
      <c r="E28" s="6" t="s">
        <v>51</v>
      </c>
      <c r="F28" s="6" t="s">
        <v>77</v>
      </c>
      <c r="G28" s="6" t="s">
        <v>65</v>
      </c>
      <c r="H28" s="6" t="s">
        <v>78</v>
      </c>
      <c r="I28" s="6" t="str">
        <f t="shared" si="0"/>
        <v>4월10일(1동/5층/4호/2명)</v>
      </c>
      <c r="J28" s="7">
        <f t="shared" si="1"/>
        <v>2</v>
      </c>
      <c r="K28" s="8">
        <f t="shared" si="2"/>
        <v>74000</v>
      </c>
      <c r="L28" s="8">
        <f t="shared" si="3"/>
        <v>74000</v>
      </c>
      <c r="M28" s="2">
        <f t="shared" si="4"/>
        <v>4</v>
      </c>
    </row>
    <row r="29" spans="1:13" ht="18.75" customHeight="1">
      <c r="A29" s="6">
        <v>27</v>
      </c>
      <c r="B29" s="4" t="s">
        <v>26</v>
      </c>
      <c r="C29" s="6" t="s">
        <v>66</v>
      </c>
      <c r="D29" s="6" t="s">
        <v>110</v>
      </c>
      <c r="E29" s="4" t="s">
        <v>98</v>
      </c>
      <c r="F29" s="6" t="s">
        <v>89</v>
      </c>
      <c r="G29" s="6" t="s">
        <v>65</v>
      </c>
      <c r="H29" s="4" t="s">
        <v>91</v>
      </c>
      <c r="I29" s="6" t="str">
        <f t="shared" si="0"/>
        <v>4월13일(4동/지하1층/1호/2명)</v>
      </c>
      <c r="J29" s="7">
        <f t="shared" si="1"/>
        <v>2</v>
      </c>
      <c r="K29" s="8">
        <f t="shared" si="2"/>
        <v>74000</v>
      </c>
      <c r="L29" s="8">
        <f t="shared" si="3"/>
        <v>74000</v>
      </c>
      <c r="M29" s="2">
        <f t="shared" si="4"/>
        <v>4</v>
      </c>
    </row>
    <row r="30" spans="1:13" ht="18.75" customHeight="1">
      <c r="A30" s="6">
        <v>28</v>
      </c>
      <c r="B30" s="4" t="s">
        <v>26</v>
      </c>
      <c r="C30" s="6" t="s">
        <v>49</v>
      </c>
      <c r="D30" s="6" t="s">
        <v>110</v>
      </c>
      <c r="E30" s="6" t="s">
        <v>48</v>
      </c>
      <c r="F30" s="6" t="s">
        <v>89</v>
      </c>
      <c r="G30" s="6" t="s">
        <v>65</v>
      </c>
      <c r="H30" s="6" t="s">
        <v>78</v>
      </c>
      <c r="I30" s="6" t="str">
        <f t="shared" si="0"/>
        <v>4월13일(9동/1층/1호/2명)</v>
      </c>
      <c r="J30" s="7">
        <f t="shared" si="1"/>
        <v>2</v>
      </c>
      <c r="K30" s="8">
        <f t="shared" si="2"/>
        <v>74000</v>
      </c>
      <c r="L30" s="8">
        <f t="shared" si="3"/>
        <v>74000</v>
      </c>
      <c r="M30" s="2">
        <f t="shared" si="4"/>
        <v>4</v>
      </c>
    </row>
    <row r="31" spans="1:13" ht="18.75" customHeight="1">
      <c r="A31" s="6">
        <v>29</v>
      </c>
      <c r="B31" s="4" t="s">
        <v>26</v>
      </c>
      <c r="C31" s="6" t="s">
        <v>49</v>
      </c>
      <c r="D31" s="6" t="s">
        <v>110</v>
      </c>
      <c r="E31" s="6" t="s">
        <v>48</v>
      </c>
      <c r="F31" s="6" t="s">
        <v>85</v>
      </c>
      <c r="G31" s="6" t="s">
        <v>65</v>
      </c>
      <c r="H31" s="6" t="s">
        <v>78</v>
      </c>
      <c r="I31" s="6" t="str">
        <f t="shared" si="0"/>
        <v>4월13일(9동/1층/2호/2명)</v>
      </c>
      <c r="J31" s="7">
        <f t="shared" si="1"/>
        <v>2</v>
      </c>
      <c r="K31" s="8">
        <f t="shared" si="2"/>
        <v>74000</v>
      </c>
      <c r="L31" s="8">
        <f t="shared" si="3"/>
        <v>74000</v>
      </c>
      <c r="M31" s="2">
        <f t="shared" si="4"/>
        <v>4</v>
      </c>
    </row>
    <row r="32" spans="1:13" ht="18.75" customHeight="1">
      <c r="A32" s="6">
        <v>30</v>
      </c>
      <c r="B32" s="4" t="s">
        <v>26</v>
      </c>
      <c r="C32" s="6" t="s">
        <v>56</v>
      </c>
      <c r="D32" s="6" t="s">
        <v>110</v>
      </c>
      <c r="E32" s="6" t="s">
        <v>48</v>
      </c>
      <c r="F32" s="6" t="s">
        <v>81</v>
      </c>
      <c r="G32" s="6" t="s">
        <v>65</v>
      </c>
      <c r="H32" s="6" t="s">
        <v>78</v>
      </c>
      <c r="I32" s="6" t="str">
        <f t="shared" si="0"/>
        <v>4월13일(2동/1층/3호/2명)</v>
      </c>
      <c r="J32" s="7">
        <f t="shared" si="1"/>
        <v>2</v>
      </c>
      <c r="K32" s="8">
        <f t="shared" si="2"/>
        <v>74000</v>
      </c>
      <c r="L32" s="8">
        <f t="shared" si="3"/>
        <v>74000</v>
      </c>
      <c r="M32" s="2">
        <f t="shared" si="4"/>
        <v>4</v>
      </c>
    </row>
    <row r="33" spans="1:13" ht="18.75" customHeight="1">
      <c r="A33" s="6">
        <v>31</v>
      </c>
      <c r="B33" s="4" t="s">
        <v>26</v>
      </c>
      <c r="C33" s="6" t="s">
        <v>56</v>
      </c>
      <c r="D33" s="6" t="s">
        <v>110</v>
      </c>
      <c r="E33" s="6" t="s">
        <v>60</v>
      </c>
      <c r="F33" s="6" t="s">
        <v>81</v>
      </c>
      <c r="G33" s="6" t="s">
        <v>65</v>
      </c>
      <c r="H33" s="6" t="s">
        <v>78</v>
      </c>
      <c r="I33" s="6" t="str">
        <f t="shared" si="0"/>
        <v>4월13일(2동/2층/3호/2명)</v>
      </c>
      <c r="J33" s="7">
        <f t="shared" si="1"/>
        <v>2</v>
      </c>
      <c r="K33" s="8">
        <f t="shared" si="2"/>
        <v>74000</v>
      </c>
      <c r="L33" s="8">
        <f t="shared" si="3"/>
        <v>74000</v>
      </c>
      <c r="M33" s="2">
        <f t="shared" si="4"/>
        <v>4</v>
      </c>
    </row>
    <row r="34" spans="1:13" ht="18.75" customHeight="1">
      <c r="A34" s="6">
        <v>32</v>
      </c>
      <c r="B34" s="4" t="s">
        <v>26</v>
      </c>
      <c r="C34" s="6" t="s">
        <v>56</v>
      </c>
      <c r="D34" s="6" t="s">
        <v>110</v>
      </c>
      <c r="E34" s="6" t="s">
        <v>58</v>
      </c>
      <c r="F34" s="6" t="s">
        <v>81</v>
      </c>
      <c r="G34" s="6" t="s">
        <v>65</v>
      </c>
      <c r="H34" s="6" t="s">
        <v>78</v>
      </c>
      <c r="I34" s="6" t="str">
        <f t="shared" si="0"/>
        <v>4월13일(2동/3층/3호/2명)</v>
      </c>
      <c r="J34" s="7">
        <f t="shared" si="1"/>
        <v>2</v>
      </c>
      <c r="K34" s="8">
        <f t="shared" si="2"/>
        <v>74000</v>
      </c>
      <c r="L34" s="8">
        <f t="shared" si="3"/>
        <v>74000</v>
      </c>
      <c r="M34" s="2">
        <f t="shared" si="4"/>
        <v>4</v>
      </c>
    </row>
    <row r="35" spans="1:13" ht="18.75" customHeight="1">
      <c r="A35" s="6">
        <v>33</v>
      </c>
      <c r="B35" s="4" t="s">
        <v>26</v>
      </c>
      <c r="C35" s="6" t="s">
        <v>56</v>
      </c>
      <c r="D35" s="6" t="s">
        <v>110</v>
      </c>
      <c r="E35" s="6" t="s">
        <v>48</v>
      </c>
      <c r="F35" s="6" t="s">
        <v>77</v>
      </c>
      <c r="G35" s="6" t="s">
        <v>65</v>
      </c>
      <c r="H35" s="6" t="s">
        <v>78</v>
      </c>
      <c r="I35" s="6" t="str">
        <f t="shared" ref="I35:I66" si="5">D35&amp;"("&amp;C35&amp;"/"&amp;E35&amp;"/"&amp;F35&amp;"/"&amp;G35&amp;")"</f>
        <v>4월13일(2동/1층/4호/2명)</v>
      </c>
      <c r="J35" s="7">
        <f t="shared" ref="J35:J66" si="6">VALUE(LEFT(G35,LEN(G35)-1))</f>
        <v>2</v>
      </c>
      <c r="K35" s="8">
        <f t="shared" ref="K35:K66" si="7">IF(H35="2차",148000,74000)</f>
        <v>74000</v>
      </c>
      <c r="L35" s="8">
        <f t="shared" ref="L35:L66" si="8">K35</f>
        <v>74000</v>
      </c>
      <c r="M35" s="2">
        <f t="shared" ref="M35:M66" si="9">IFERROR(VALUE(LEFT(D35,FIND("월",D35)-1)),"")</f>
        <v>4</v>
      </c>
    </row>
    <row r="36" spans="1:13" ht="18.75" customHeight="1">
      <c r="A36" s="6">
        <v>34</v>
      </c>
      <c r="B36" s="4" t="s">
        <v>26</v>
      </c>
      <c r="C36" s="6" t="s">
        <v>56</v>
      </c>
      <c r="D36" s="6" t="s">
        <v>110</v>
      </c>
      <c r="E36" s="6" t="s">
        <v>60</v>
      </c>
      <c r="F36" s="6" t="s">
        <v>77</v>
      </c>
      <c r="G36" s="6" t="s">
        <v>65</v>
      </c>
      <c r="H36" s="6" t="s">
        <v>78</v>
      </c>
      <c r="I36" s="6" t="str">
        <f t="shared" si="5"/>
        <v>4월13일(2동/2층/4호/2명)</v>
      </c>
      <c r="J36" s="7">
        <f t="shared" si="6"/>
        <v>2</v>
      </c>
      <c r="K36" s="8">
        <f t="shared" si="7"/>
        <v>74000</v>
      </c>
      <c r="L36" s="8">
        <f t="shared" si="8"/>
        <v>74000</v>
      </c>
      <c r="M36" s="2">
        <f t="shared" si="9"/>
        <v>4</v>
      </c>
    </row>
    <row r="37" spans="1:13" ht="18.75" customHeight="1">
      <c r="A37" s="6">
        <v>35</v>
      </c>
      <c r="B37" s="4" t="s">
        <v>26</v>
      </c>
      <c r="C37" s="6" t="s">
        <v>56</v>
      </c>
      <c r="D37" s="6" t="s">
        <v>110</v>
      </c>
      <c r="E37" s="6" t="s">
        <v>58</v>
      </c>
      <c r="F37" s="6" t="s">
        <v>77</v>
      </c>
      <c r="G37" s="6" t="s">
        <v>65</v>
      </c>
      <c r="H37" s="6" t="s">
        <v>78</v>
      </c>
      <c r="I37" s="6" t="str">
        <f t="shared" si="5"/>
        <v>4월13일(2동/3층/4호/2명)</v>
      </c>
      <c r="J37" s="7">
        <f t="shared" si="6"/>
        <v>2</v>
      </c>
      <c r="K37" s="8">
        <f t="shared" si="7"/>
        <v>74000</v>
      </c>
      <c r="L37" s="8">
        <f t="shared" si="8"/>
        <v>74000</v>
      </c>
      <c r="M37" s="2">
        <f t="shared" si="9"/>
        <v>4</v>
      </c>
    </row>
    <row r="38" spans="1:13" ht="18.75" customHeight="1">
      <c r="A38" s="6">
        <v>36</v>
      </c>
      <c r="B38" s="4" t="s">
        <v>26</v>
      </c>
      <c r="C38" s="6" t="s">
        <v>56</v>
      </c>
      <c r="D38" s="6" t="s">
        <v>110</v>
      </c>
      <c r="E38" s="6" t="s">
        <v>51</v>
      </c>
      <c r="F38" s="6" t="s">
        <v>81</v>
      </c>
      <c r="G38" s="6" t="s">
        <v>65</v>
      </c>
      <c r="H38" s="6" t="s">
        <v>78</v>
      </c>
      <c r="I38" s="6" t="str">
        <f t="shared" si="5"/>
        <v>4월13일(2동/5층/3호/2명)</v>
      </c>
      <c r="J38" s="7">
        <f t="shared" si="6"/>
        <v>2</v>
      </c>
      <c r="K38" s="8">
        <f t="shared" si="7"/>
        <v>74000</v>
      </c>
      <c r="L38" s="8">
        <f t="shared" si="8"/>
        <v>74000</v>
      </c>
      <c r="M38" s="2">
        <f t="shared" si="9"/>
        <v>4</v>
      </c>
    </row>
    <row r="39" spans="1:13" ht="18.75" customHeight="1">
      <c r="A39" s="6">
        <v>37</v>
      </c>
      <c r="B39" s="4" t="s">
        <v>26</v>
      </c>
      <c r="C39" s="6" t="s">
        <v>56</v>
      </c>
      <c r="D39" s="6" t="s">
        <v>110</v>
      </c>
      <c r="E39" s="6" t="s">
        <v>51</v>
      </c>
      <c r="F39" s="6" t="s">
        <v>77</v>
      </c>
      <c r="G39" s="6" t="s">
        <v>65</v>
      </c>
      <c r="H39" s="6" t="s">
        <v>78</v>
      </c>
      <c r="I39" s="6" t="str">
        <f t="shared" si="5"/>
        <v>4월13일(2동/5층/4호/2명)</v>
      </c>
      <c r="J39" s="7">
        <f t="shared" si="6"/>
        <v>2</v>
      </c>
      <c r="K39" s="8">
        <f t="shared" si="7"/>
        <v>74000</v>
      </c>
      <c r="L39" s="8">
        <f t="shared" si="8"/>
        <v>74000</v>
      </c>
      <c r="M39" s="2">
        <f t="shared" si="9"/>
        <v>4</v>
      </c>
    </row>
    <row r="40" spans="1:13" ht="18.75" customHeight="1">
      <c r="A40" s="6">
        <v>38</v>
      </c>
      <c r="B40" s="4" t="s">
        <v>26</v>
      </c>
      <c r="C40" s="6" t="s">
        <v>56</v>
      </c>
      <c r="D40" s="6" t="s">
        <v>107</v>
      </c>
      <c r="E40" s="6" t="s">
        <v>51</v>
      </c>
      <c r="F40" s="6" t="s">
        <v>89</v>
      </c>
      <c r="G40" s="6" t="s">
        <v>57</v>
      </c>
      <c r="H40" s="6" t="s">
        <v>78</v>
      </c>
      <c r="I40" s="6" t="str">
        <f t="shared" si="5"/>
        <v>4월20일(2동/5층/1호/3명)</v>
      </c>
      <c r="J40" s="7">
        <f t="shared" si="6"/>
        <v>3</v>
      </c>
      <c r="K40" s="8">
        <f t="shared" si="7"/>
        <v>74000</v>
      </c>
      <c r="L40" s="8">
        <f t="shared" si="8"/>
        <v>74000</v>
      </c>
      <c r="M40" s="2">
        <f t="shared" si="9"/>
        <v>4</v>
      </c>
    </row>
    <row r="41" spans="1:13" ht="18.75" customHeight="1">
      <c r="A41" s="6">
        <v>39</v>
      </c>
      <c r="B41" s="4" t="s">
        <v>64</v>
      </c>
      <c r="C41" s="6" t="s">
        <v>56</v>
      </c>
      <c r="D41" s="6" t="s">
        <v>107</v>
      </c>
      <c r="E41" s="6" t="s">
        <v>20</v>
      </c>
      <c r="F41" s="6" t="s">
        <v>85</v>
      </c>
      <c r="G41" s="6" t="s">
        <v>57</v>
      </c>
      <c r="H41" s="6" t="s">
        <v>78</v>
      </c>
      <c r="I41" s="6" t="str">
        <f t="shared" si="5"/>
        <v>4월20일(2동/6층/2호/3명)</v>
      </c>
      <c r="J41" s="7">
        <f t="shared" si="6"/>
        <v>3</v>
      </c>
      <c r="K41" s="8">
        <f t="shared" si="7"/>
        <v>74000</v>
      </c>
      <c r="L41" s="8">
        <f t="shared" si="8"/>
        <v>74000</v>
      </c>
      <c r="M41" s="2">
        <f t="shared" si="9"/>
        <v>4</v>
      </c>
    </row>
    <row r="42" spans="1:13" ht="18.75" customHeight="1">
      <c r="A42" s="6">
        <v>40</v>
      </c>
      <c r="B42" s="4" t="s">
        <v>26</v>
      </c>
      <c r="C42" s="6" t="s">
        <v>56</v>
      </c>
      <c r="D42" s="6" t="s">
        <v>107</v>
      </c>
      <c r="E42" s="6" t="s">
        <v>51</v>
      </c>
      <c r="F42" s="6" t="s">
        <v>89</v>
      </c>
      <c r="G42" s="6" t="s">
        <v>57</v>
      </c>
      <c r="H42" s="6" t="s">
        <v>78</v>
      </c>
      <c r="I42" s="6" t="str">
        <f t="shared" si="5"/>
        <v>4월20일(2동/5층/1호/3명)</v>
      </c>
      <c r="J42" s="7">
        <f t="shared" si="6"/>
        <v>3</v>
      </c>
      <c r="K42" s="8">
        <f t="shared" si="7"/>
        <v>74000</v>
      </c>
      <c r="L42" s="8">
        <f t="shared" si="8"/>
        <v>74000</v>
      </c>
      <c r="M42" s="2">
        <f t="shared" si="9"/>
        <v>4</v>
      </c>
    </row>
    <row r="43" spans="1:13" ht="18.75" customHeight="1">
      <c r="A43" s="6">
        <v>41</v>
      </c>
      <c r="B43" s="4" t="s">
        <v>64</v>
      </c>
      <c r="C43" s="6" t="s">
        <v>56</v>
      </c>
      <c r="D43" s="6" t="s">
        <v>107</v>
      </c>
      <c r="E43" s="6" t="s">
        <v>20</v>
      </c>
      <c r="F43" s="6" t="s">
        <v>85</v>
      </c>
      <c r="G43" s="6" t="s">
        <v>57</v>
      </c>
      <c r="H43" s="6" t="s">
        <v>78</v>
      </c>
      <c r="I43" s="6" t="str">
        <f t="shared" si="5"/>
        <v>4월20일(2동/6층/2호/3명)</v>
      </c>
      <c r="J43" s="7">
        <f t="shared" si="6"/>
        <v>3</v>
      </c>
      <c r="K43" s="8">
        <f t="shared" si="7"/>
        <v>74000</v>
      </c>
      <c r="L43" s="8">
        <f t="shared" si="8"/>
        <v>74000</v>
      </c>
      <c r="M43" s="2">
        <f t="shared" si="9"/>
        <v>4</v>
      </c>
    </row>
    <row r="44" spans="1:13" ht="18.75" customHeight="1">
      <c r="A44" s="6">
        <v>42</v>
      </c>
      <c r="B44" s="4" t="s">
        <v>26</v>
      </c>
      <c r="C44" s="6" t="s">
        <v>27</v>
      </c>
      <c r="D44" s="6" t="s">
        <v>107</v>
      </c>
      <c r="E44" s="6" t="s">
        <v>51</v>
      </c>
      <c r="F44" s="6" t="s">
        <v>89</v>
      </c>
      <c r="G44" s="6" t="s">
        <v>57</v>
      </c>
      <c r="H44" s="6" t="s">
        <v>78</v>
      </c>
      <c r="I44" s="6" t="str">
        <f t="shared" si="5"/>
        <v>4월20일(1동/5층/1호/3명)</v>
      </c>
      <c r="J44" s="7">
        <f t="shared" si="6"/>
        <v>3</v>
      </c>
      <c r="K44" s="8">
        <f t="shared" si="7"/>
        <v>74000</v>
      </c>
      <c r="L44" s="8">
        <f t="shared" si="8"/>
        <v>74000</v>
      </c>
      <c r="M44" s="2">
        <f t="shared" si="9"/>
        <v>4</v>
      </c>
    </row>
    <row r="45" spans="1:13" ht="18.75" customHeight="1">
      <c r="A45" s="6">
        <v>43</v>
      </c>
      <c r="B45" s="4" t="s">
        <v>26</v>
      </c>
      <c r="C45" s="6" t="s">
        <v>27</v>
      </c>
      <c r="D45" s="6" t="s">
        <v>107</v>
      </c>
      <c r="E45" s="6" t="s">
        <v>51</v>
      </c>
      <c r="F45" s="6" t="s">
        <v>85</v>
      </c>
      <c r="G45" s="6" t="s">
        <v>57</v>
      </c>
      <c r="H45" s="6" t="s">
        <v>78</v>
      </c>
      <c r="I45" s="6" t="str">
        <f t="shared" si="5"/>
        <v>4월20일(1동/5층/2호/3명)</v>
      </c>
      <c r="J45" s="7">
        <f t="shared" si="6"/>
        <v>3</v>
      </c>
      <c r="K45" s="8">
        <f t="shared" si="7"/>
        <v>74000</v>
      </c>
      <c r="L45" s="8">
        <f t="shared" si="8"/>
        <v>74000</v>
      </c>
      <c r="M45" s="2">
        <f t="shared" si="9"/>
        <v>4</v>
      </c>
    </row>
    <row r="46" spans="1:13" ht="18.75" customHeight="1">
      <c r="A46" s="6">
        <v>44</v>
      </c>
      <c r="B46" s="4" t="s">
        <v>26</v>
      </c>
      <c r="C46" s="6" t="s">
        <v>27</v>
      </c>
      <c r="D46" s="6" t="s">
        <v>107</v>
      </c>
      <c r="E46" s="6" t="s">
        <v>51</v>
      </c>
      <c r="F46" s="6" t="s">
        <v>81</v>
      </c>
      <c r="G46" s="6" t="s">
        <v>57</v>
      </c>
      <c r="H46" s="6" t="s">
        <v>78</v>
      </c>
      <c r="I46" s="6" t="str">
        <f t="shared" si="5"/>
        <v>4월20일(1동/5층/3호/3명)</v>
      </c>
      <c r="J46" s="7">
        <f t="shared" si="6"/>
        <v>3</v>
      </c>
      <c r="K46" s="8">
        <f t="shared" si="7"/>
        <v>74000</v>
      </c>
      <c r="L46" s="8">
        <f t="shared" si="8"/>
        <v>74000</v>
      </c>
      <c r="M46" s="2">
        <f t="shared" si="9"/>
        <v>4</v>
      </c>
    </row>
    <row r="47" spans="1:13" ht="18.75" customHeight="1">
      <c r="A47" s="6">
        <v>45</v>
      </c>
      <c r="B47" s="4" t="s">
        <v>26</v>
      </c>
      <c r="C47" s="6" t="s">
        <v>27</v>
      </c>
      <c r="D47" s="6" t="s">
        <v>107</v>
      </c>
      <c r="E47" s="6" t="s">
        <v>51</v>
      </c>
      <c r="F47" s="6" t="s">
        <v>77</v>
      </c>
      <c r="G47" s="6" t="s">
        <v>57</v>
      </c>
      <c r="H47" s="6" t="s">
        <v>78</v>
      </c>
      <c r="I47" s="6" t="str">
        <f t="shared" si="5"/>
        <v>4월20일(1동/5층/4호/3명)</v>
      </c>
      <c r="J47" s="7">
        <f t="shared" si="6"/>
        <v>3</v>
      </c>
      <c r="K47" s="8">
        <f t="shared" si="7"/>
        <v>74000</v>
      </c>
      <c r="L47" s="8">
        <f t="shared" si="8"/>
        <v>74000</v>
      </c>
      <c r="M47" s="2">
        <f t="shared" si="9"/>
        <v>4</v>
      </c>
    </row>
    <row r="48" spans="1:13" ht="18.75" customHeight="1">
      <c r="A48" s="6">
        <v>46</v>
      </c>
      <c r="B48" s="4" t="s">
        <v>64</v>
      </c>
      <c r="C48" s="6" t="s">
        <v>27</v>
      </c>
      <c r="D48" s="6" t="s">
        <v>107</v>
      </c>
      <c r="E48" s="6" t="s">
        <v>20</v>
      </c>
      <c r="F48" s="6" t="s">
        <v>89</v>
      </c>
      <c r="G48" s="6" t="s">
        <v>57</v>
      </c>
      <c r="H48" s="6" t="s">
        <v>78</v>
      </c>
      <c r="I48" s="6" t="str">
        <f t="shared" si="5"/>
        <v>4월20일(1동/6층/1호/3명)</v>
      </c>
      <c r="J48" s="7">
        <f t="shared" si="6"/>
        <v>3</v>
      </c>
      <c r="K48" s="8">
        <f t="shared" si="7"/>
        <v>74000</v>
      </c>
      <c r="L48" s="8">
        <f t="shared" si="8"/>
        <v>74000</v>
      </c>
      <c r="M48" s="2">
        <f t="shared" si="9"/>
        <v>4</v>
      </c>
    </row>
    <row r="49" spans="1:13" ht="18.75" customHeight="1">
      <c r="A49" s="6">
        <v>47</v>
      </c>
      <c r="B49" s="4" t="s">
        <v>64</v>
      </c>
      <c r="C49" s="6" t="s">
        <v>27</v>
      </c>
      <c r="D49" s="6" t="s">
        <v>107</v>
      </c>
      <c r="E49" s="6" t="s">
        <v>20</v>
      </c>
      <c r="F49" s="6" t="s">
        <v>85</v>
      </c>
      <c r="G49" s="6" t="s">
        <v>57</v>
      </c>
      <c r="H49" s="6" t="s">
        <v>78</v>
      </c>
      <c r="I49" s="6" t="str">
        <f t="shared" si="5"/>
        <v>4월20일(1동/6층/2호/3명)</v>
      </c>
      <c r="J49" s="7">
        <f t="shared" si="6"/>
        <v>3</v>
      </c>
      <c r="K49" s="8">
        <f t="shared" si="7"/>
        <v>74000</v>
      </c>
      <c r="L49" s="8">
        <f t="shared" si="8"/>
        <v>74000</v>
      </c>
      <c r="M49" s="2">
        <f t="shared" si="9"/>
        <v>4</v>
      </c>
    </row>
    <row r="50" spans="1:13" ht="18.75" customHeight="1">
      <c r="A50" s="6">
        <v>48</v>
      </c>
      <c r="B50" s="4" t="s">
        <v>64</v>
      </c>
      <c r="C50" s="6" t="s">
        <v>27</v>
      </c>
      <c r="D50" s="6" t="s">
        <v>107</v>
      </c>
      <c r="E50" s="6" t="s">
        <v>20</v>
      </c>
      <c r="F50" s="6" t="s">
        <v>81</v>
      </c>
      <c r="G50" s="6" t="s">
        <v>57</v>
      </c>
      <c r="H50" s="6" t="s">
        <v>78</v>
      </c>
      <c r="I50" s="6" t="str">
        <f t="shared" si="5"/>
        <v>4월20일(1동/6층/3호/3명)</v>
      </c>
      <c r="J50" s="7">
        <f t="shared" si="6"/>
        <v>3</v>
      </c>
      <c r="K50" s="8">
        <f t="shared" si="7"/>
        <v>74000</v>
      </c>
      <c r="L50" s="8">
        <f t="shared" si="8"/>
        <v>74000</v>
      </c>
      <c r="M50" s="2">
        <f t="shared" si="9"/>
        <v>4</v>
      </c>
    </row>
    <row r="51" spans="1:13" ht="18.75" customHeight="1">
      <c r="A51" s="6">
        <v>49</v>
      </c>
      <c r="B51" s="4" t="s">
        <v>64</v>
      </c>
      <c r="C51" s="6" t="s">
        <v>27</v>
      </c>
      <c r="D51" s="6" t="s">
        <v>107</v>
      </c>
      <c r="E51" s="6" t="s">
        <v>20</v>
      </c>
      <c r="F51" s="6" t="s">
        <v>77</v>
      </c>
      <c r="G51" s="6" t="s">
        <v>57</v>
      </c>
      <c r="H51" s="6" t="s">
        <v>78</v>
      </c>
      <c r="I51" s="6" t="str">
        <f t="shared" si="5"/>
        <v>4월20일(1동/6층/4호/3명)</v>
      </c>
      <c r="J51" s="7">
        <f t="shared" si="6"/>
        <v>3</v>
      </c>
      <c r="K51" s="8">
        <f t="shared" si="7"/>
        <v>74000</v>
      </c>
      <c r="L51" s="8">
        <f t="shared" si="8"/>
        <v>74000</v>
      </c>
      <c r="M51" s="2">
        <f t="shared" si="9"/>
        <v>4</v>
      </c>
    </row>
    <row r="52" spans="1:13" ht="18.75" customHeight="1">
      <c r="A52" s="6">
        <v>50</v>
      </c>
      <c r="B52" s="4" t="s">
        <v>26</v>
      </c>
      <c r="C52" s="6" t="s">
        <v>66</v>
      </c>
      <c r="D52" s="6" t="s">
        <v>97</v>
      </c>
      <c r="E52" s="4" t="s">
        <v>98</v>
      </c>
      <c r="F52" s="6"/>
      <c r="G52" s="6" t="s">
        <v>65</v>
      </c>
      <c r="H52" s="6" t="s">
        <v>78</v>
      </c>
      <c r="I52" s="6" t="str">
        <f t="shared" si="5"/>
        <v>4월21일(4동/지하1층//2명)</v>
      </c>
      <c r="J52" s="7">
        <f t="shared" si="6"/>
        <v>2</v>
      </c>
      <c r="K52" s="8">
        <f t="shared" si="7"/>
        <v>74000</v>
      </c>
      <c r="L52" s="8">
        <f t="shared" si="8"/>
        <v>74000</v>
      </c>
      <c r="M52" s="2">
        <f t="shared" si="9"/>
        <v>4</v>
      </c>
    </row>
    <row r="53" spans="1:13" ht="18.75" customHeight="1">
      <c r="A53" s="6">
        <v>51</v>
      </c>
      <c r="B53" s="4" t="s">
        <v>26</v>
      </c>
      <c r="C53" s="6" t="s">
        <v>66</v>
      </c>
      <c r="D53" s="6" t="s">
        <v>97</v>
      </c>
      <c r="E53" s="4" t="s">
        <v>105</v>
      </c>
      <c r="F53" s="6"/>
      <c r="G53" s="6" t="s">
        <v>65</v>
      </c>
      <c r="H53" s="6" t="s">
        <v>78</v>
      </c>
      <c r="I53" s="6" t="str">
        <f t="shared" si="5"/>
        <v>4월21일(4동/지하2층//2명)</v>
      </c>
      <c r="J53" s="7">
        <f t="shared" si="6"/>
        <v>2</v>
      </c>
      <c r="K53" s="8">
        <f t="shared" si="7"/>
        <v>74000</v>
      </c>
      <c r="L53" s="8">
        <f t="shared" si="8"/>
        <v>74000</v>
      </c>
      <c r="M53" s="2">
        <f t="shared" si="9"/>
        <v>4</v>
      </c>
    </row>
    <row r="54" spans="1:13" ht="18.75" customHeight="1">
      <c r="A54" s="6">
        <v>52</v>
      </c>
      <c r="B54" s="4" t="s">
        <v>26</v>
      </c>
      <c r="C54" s="6" t="s">
        <v>27</v>
      </c>
      <c r="D54" s="6" t="s">
        <v>97</v>
      </c>
      <c r="E54" s="6" t="s">
        <v>59</v>
      </c>
      <c r="F54" s="6" t="s">
        <v>89</v>
      </c>
      <c r="G54" s="6" t="s">
        <v>65</v>
      </c>
      <c r="H54" s="6" t="s">
        <v>78</v>
      </c>
      <c r="I54" s="6" t="str">
        <f t="shared" si="5"/>
        <v>4월21일(1동/4층/1호/2명)</v>
      </c>
      <c r="J54" s="7">
        <f t="shared" si="6"/>
        <v>2</v>
      </c>
      <c r="K54" s="8">
        <f t="shared" si="7"/>
        <v>74000</v>
      </c>
      <c r="L54" s="8">
        <f t="shared" si="8"/>
        <v>74000</v>
      </c>
      <c r="M54" s="2">
        <f t="shared" si="9"/>
        <v>4</v>
      </c>
    </row>
    <row r="55" spans="1:13" ht="18.75" customHeight="1">
      <c r="A55" s="6">
        <v>53</v>
      </c>
      <c r="B55" s="4" t="s">
        <v>26</v>
      </c>
      <c r="C55" s="6" t="s">
        <v>27</v>
      </c>
      <c r="D55" s="6" t="s">
        <v>97</v>
      </c>
      <c r="E55" s="6" t="s">
        <v>59</v>
      </c>
      <c r="F55" s="6" t="s">
        <v>85</v>
      </c>
      <c r="G55" s="6" t="s">
        <v>65</v>
      </c>
      <c r="H55" s="6" t="s">
        <v>78</v>
      </c>
      <c r="I55" s="6" t="str">
        <f t="shared" si="5"/>
        <v>4월21일(1동/4층/2호/2명)</v>
      </c>
      <c r="J55" s="7">
        <f t="shared" si="6"/>
        <v>2</v>
      </c>
      <c r="K55" s="8">
        <f t="shared" si="7"/>
        <v>74000</v>
      </c>
      <c r="L55" s="8">
        <f t="shared" si="8"/>
        <v>74000</v>
      </c>
      <c r="M55" s="2">
        <f t="shared" si="9"/>
        <v>4</v>
      </c>
    </row>
    <row r="56" spans="1:13" ht="18.75" customHeight="1">
      <c r="A56" s="6">
        <v>54</v>
      </c>
      <c r="B56" s="4" t="s">
        <v>26</v>
      </c>
      <c r="C56" s="6" t="s">
        <v>27</v>
      </c>
      <c r="D56" s="6" t="s">
        <v>112</v>
      </c>
      <c r="E56" s="6" t="s">
        <v>51</v>
      </c>
      <c r="F56" s="6" t="s">
        <v>81</v>
      </c>
      <c r="G56" s="6" t="s">
        <v>57</v>
      </c>
      <c r="H56" s="6" t="s">
        <v>78</v>
      </c>
      <c r="I56" s="6" t="str">
        <f t="shared" si="5"/>
        <v>4월22일(1동/5층/3호/3명)</v>
      </c>
      <c r="J56" s="7">
        <f t="shared" si="6"/>
        <v>3</v>
      </c>
      <c r="K56" s="8">
        <f t="shared" si="7"/>
        <v>74000</v>
      </c>
      <c r="L56" s="8">
        <f t="shared" si="8"/>
        <v>74000</v>
      </c>
      <c r="M56" s="2">
        <f t="shared" si="9"/>
        <v>4</v>
      </c>
    </row>
    <row r="57" spans="1:13" ht="18.75" customHeight="1">
      <c r="A57" s="6">
        <v>55</v>
      </c>
      <c r="B57" s="4" t="s">
        <v>26</v>
      </c>
      <c r="C57" s="6" t="s">
        <v>27</v>
      </c>
      <c r="D57" s="6" t="s">
        <v>112</v>
      </c>
      <c r="E57" s="6" t="s">
        <v>51</v>
      </c>
      <c r="F57" s="6" t="s">
        <v>77</v>
      </c>
      <c r="G57" s="6" t="s">
        <v>57</v>
      </c>
      <c r="H57" s="6" t="s">
        <v>78</v>
      </c>
      <c r="I57" s="6" t="str">
        <f t="shared" si="5"/>
        <v>4월22일(1동/5층/4호/3명)</v>
      </c>
      <c r="J57" s="7">
        <f t="shared" si="6"/>
        <v>3</v>
      </c>
      <c r="K57" s="8">
        <f t="shared" si="7"/>
        <v>74000</v>
      </c>
      <c r="L57" s="8">
        <f t="shared" si="8"/>
        <v>74000</v>
      </c>
      <c r="M57" s="2">
        <f t="shared" si="9"/>
        <v>4</v>
      </c>
    </row>
    <row r="58" spans="1:13" ht="18.75" customHeight="1">
      <c r="A58" s="6">
        <v>56</v>
      </c>
      <c r="B58" s="4" t="s">
        <v>26</v>
      </c>
      <c r="C58" s="6" t="s">
        <v>49</v>
      </c>
      <c r="D58" s="6" t="s">
        <v>112</v>
      </c>
      <c r="E58" s="6" t="s">
        <v>60</v>
      </c>
      <c r="F58" s="6" t="s">
        <v>81</v>
      </c>
      <c r="G58" s="6" t="s">
        <v>57</v>
      </c>
      <c r="H58" s="6" t="s">
        <v>78</v>
      </c>
      <c r="I58" s="6" t="str">
        <f t="shared" si="5"/>
        <v>4월22일(9동/2층/3호/3명)</v>
      </c>
      <c r="J58" s="7">
        <f t="shared" si="6"/>
        <v>3</v>
      </c>
      <c r="K58" s="8">
        <f t="shared" si="7"/>
        <v>74000</v>
      </c>
      <c r="L58" s="8">
        <f t="shared" si="8"/>
        <v>74000</v>
      </c>
      <c r="M58" s="2">
        <f t="shared" si="9"/>
        <v>4</v>
      </c>
    </row>
    <row r="59" spans="1:13" ht="18.75" customHeight="1">
      <c r="A59" s="6">
        <v>57</v>
      </c>
      <c r="B59" s="4" t="s">
        <v>26</v>
      </c>
      <c r="C59" s="6" t="s">
        <v>49</v>
      </c>
      <c r="D59" s="6" t="s">
        <v>112</v>
      </c>
      <c r="E59" s="6" t="s">
        <v>60</v>
      </c>
      <c r="F59" s="6" t="s">
        <v>77</v>
      </c>
      <c r="G59" s="6" t="s">
        <v>57</v>
      </c>
      <c r="H59" s="6" t="s">
        <v>78</v>
      </c>
      <c r="I59" s="6" t="str">
        <f t="shared" si="5"/>
        <v>4월22일(9동/2층/4호/3명)</v>
      </c>
      <c r="J59" s="7">
        <f t="shared" si="6"/>
        <v>3</v>
      </c>
      <c r="K59" s="8">
        <f t="shared" si="7"/>
        <v>74000</v>
      </c>
      <c r="L59" s="8">
        <f t="shared" si="8"/>
        <v>74000</v>
      </c>
      <c r="M59" s="2">
        <f t="shared" si="9"/>
        <v>4</v>
      </c>
    </row>
    <row r="60" spans="1:13" ht="18.75" customHeight="1">
      <c r="A60" s="6">
        <v>58</v>
      </c>
      <c r="B60" s="4" t="s">
        <v>64</v>
      </c>
      <c r="C60" s="6" t="s">
        <v>56</v>
      </c>
      <c r="D60" s="6" t="s">
        <v>112</v>
      </c>
      <c r="E60" s="6" t="s">
        <v>20</v>
      </c>
      <c r="F60" s="6" t="s">
        <v>81</v>
      </c>
      <c r="G60" s="6" t="s">
        <v>57</v>
      </c>
      <c r="H60" s="6" t="s">
        <v>78</v>
      </c>
      <c r="I60" s="6" t="str">
        <f t="shared" si="5"/>
        <v>4월22일(2동/6층/3호/3명)</v>
      </c>
      <c r="J60" s="7">
        <f t="shared" si="6"/>
        <v>3</v>
      </c>
      <c r="K60" s="8">
        <f t="shared" si="7"/>
        <v>74000</v>
      </c>
      <c r="L60" s="8">
        <f t="shared" si="8"/>
        <v>74000</v>
      </c>
      <c r="M60" s="2">
        <f t="shared" si="9"/>
        <v>4</v>
      </c>
    </row>
    <row r="61" spans="1:13" ht="18.75" customHeight="1">
      <c r="A61" s="6">
        <v>59</v>
      </c>
      <c r="B61" s="4" t="s">
        <v>64</v>
      </c>
      <c r="C61" s="6" t="s">
        <v>56</v>
      </c>
      <c r="D61" s="6" t="s">
        <v>112</v>
      </c>
      <c r="E61" s="6" t="s">
        <v>20</v>
      </c>
      <c r="F61" s="6" t="s">
        <v>77</v>
      </c>
      <c r="G61" s="6" t="s">
        <v>57</v>
      </c>
      <c r="H61" s="6" t="s">
        <v>78</v>
      </c>
      <c r="I61" s="6" t="str">
        <f t="shared" si="5"/>
        <v>4월22일(2동/6층/4호/3명)</v>
      </c>
      <c r="J61" s="7">
        <f t="shared" si="6"/>
        <v>3</v>
      </c>
      <c r="K61" s="8">
        <f t="shared" si="7"/>
        <v>74000</v>
      </c>
      <c r="L61" s="8">
        <f t="shared" si="8"/>
        <v>74000</v>
      </c>
      <c r="M61" s="2">
        <f t="shared" si="9"/>
        <v>4</v>
      </c>
    </row>
    <row r="62" spans="1:13" ht="18.75" customHeight="1">
      <c r="A62" s="6">
        <v>60</v>
      </c>
      <c r="B62" s="4" t="s">
        <v>64</v>
      </c>
      <c r="C62" s="6" t="s">
        <v>27</v>
      </c>
      <c r="D62" s="6" t="s">
        <v>109</v>
      </c>
      <c r="E62" s="6" t="s">
        <v>67</v>
      </c>
      <c r="F62" s="6" t="s">
        <v>89</v>
      </c>
      <c r="G62" s="6" t="s">
        <v>57</v>
      </c>
      <c r="H62" s="6" t="s">
        <v>78</v>
      </c>
      <c r="I62" s="6" t="str">
        <f t="shared" si="5"/>
        <v>4월27일(1동/7층/1호/3명)</v>
      </c>
      <c r="J62" s="7">
        <f t="shared" si="6"/>
        <v>3</v>
      </c>
      <c r="K62" s="8">
        <f t="shared" si="7"/>
        <v>74000</v>
      </c>
      <c r="L62" s="8">
        <f t="shared" si="8"/>
        <v>74000</v>
      </c>
      <c r="M62" s="2">
        <f t="shared" si="9"/>
        <v>4</v>
      </c>
    </row>
    <row r="63" spans="1:13" ht="18.75" customHeight="1">
      <c r="A63" s="6">
        <v>61</v>
      </c>
      <c r="B63" s="4" t="s">
        <v>64</v>
      </c>
      <c r="C63" s="6" t="s">
        <v>27</v>
      </c>
      <c r="D63" s="6" t="s">
        <v>109</v>
      </c>
      <c r="E63" s="6" t="s">
        <v>67</v>
      </c>
      <c r="F63" s="6" t="s">
        <v>85</v>
      </c>
      <c r="G63" s="6" t="s">
        <v>57</v>
      </c>
      <c r="H63" s="6" t="s">
        <v>78</v>
      </c>
      <c r="I63" s="6" t="str">
        <f t="shared" si="5"/>
        <v>4월27일(1동/7층/2호/3명)</v>
      </c>
      <c r="J63" s="7">
        <f t="shared" si="6"/>
        <v>3</v>
      </c>
      <c r="K63" s="8">
        <f t="shared" si="7"/>
        <v>74000</v>
      </c>
      <c r="L63" s="8">
        <f t="shared" si="8"/>
        <v>74000</v>
      </c>
      <c r="M63" s="2">
        <f t="shared" si="9"/>
        <v>4</v>
      </c>
    </row>
    <row r="64" spans="1:13" ht="18.75" customHeight="1">
      <c r="A64" s="6">
        <v>62</v>
      </c>
      <c r="B64" s="4" t="s">
        <v>64</v>
      </c>
      <c r="C64" s="6" t="s">
        <v>27</v>
      </c>
      <c r="D64" s="6" t="s">
        <v>109</v>
      </c>
      <c r="E64" s="6" t="s">
        <v>67</v>
      </c>
      <c r="F64" s="6" t="s">
        <v>81</v>
      </c>
      <c r="G64" s="6" t="s">
        <v>57</v>
      </c>
      <c r="H64" s="6" t="s">
        <v>78</v>
      </c>
      <c r="I64" s="6" t="str">
        <f t="shared" si="5"/>
        <v>4월27일(1동/7층/3호/3명)</v>
      </c>
      <c r="J64" s="7">
        <f t="shared" si="6"/>
        <v>3</v>
      </c>
      <c r="K64" s="8">
        <f t="shared" si="7"/>
        <v>74000</v>
      </c>
      <c r="L64" s="8">
        <f t="shared" si="8"/>
        <v>74000</v>
      </c>
      <c r="M64" s="2">
        <f t="shared" si="9"/>
        <v>4</v>
      </c>
    </row>
    <row r="65" spans="1:13" ht="18.75" customHeight="1">
      <c r="A65" s="6">
        <v>63</v>
      </c>
      <c r="B65" s="4" t="s">
        <v>64</v>
      </c>
      <c r="C65" s="6" t="s">
        <v>27</v>
      </c>
      <c r="D65" s="6" t="s">
        <v>109</v>
      </c>
      <c r="E65" s="6" t="s">
        <v>67</v>
      </c>
      <c r="F65" s="6" t="s">
        <v>77</v>
      </c>
      <c r="G65" s="6" t="s">
        <v>57</v>
      </c>
      <c r="H65" s="6" t="s">
        <v>78</v>
      </c>
      <c r="I65" s="6" t="str">
        <f t="shared" si="5"/>
        <v>4월27일(1동/7층/4호/3명)</v>
      </c>
      <c r="J65" s="7">
        <f t="shared" si="6"/>
        <v>3</v>
      </c>
      <c r="K65" s="8">
        <f t="shared" si="7"/>
        <v>74000</v>
      </c>
      <c r="L65" s="8">
        <f t="shared" si="8"/>
        <v>74000</v>
      </c>
      <c r="M65" s="2">
        <f t="shared" si="9"/>
        <v>4</v>
      </c>
    </row>
    <row r="66" spans="1:13" ht="18.75" customHeight="1">
      <c r="A66" s="6">
        <v>64</v>
      </c>
      <c r="B66" s="4" t="s">
        <v>26</v>
      </c>
      <c r="C66" s="6" t="s">
        <v>27</v>
      </c>
      <c r="D66" s="6" t="s">
        <v>109</v>
      </c>
      <c r="E66" s="6" t="s">
        <v>48</v>
      </c>
      <c r="F66" s="6" t="s">
        <v>89</v>
      </c>
      <c r="G66" s="6" t="s">
        <v>57</v>
      </c>
      <c r="H66" s="6" t="s">
        <v>90</v>
      </c>
      <c r="I66" s="6" t="str">
        <f t="shared" si="5"/>
        <v>4월27일(1동/1층/1호/3명)</v>
      </c>
      <c r="J66" s="7">
        <f t="shared" si="6"/>
        <v>3</v>
      </c>
      <c r="K66" s="8">
        <f t="shared" si="7"/>
        <v>148000</v>
      </c>
      <c r="L66" s="8">
        <f t="shared" si="8"/>
        <v>148000</v>
      </c>
      <c r="M66" s="2">
        <f t="shared" si="9"/>
        <v>4</v>
      </c>
    </row>
    <row r="67" spans="1:13" ht="18.75" customHeight="1">
      <c r="A67" s="6">
        <v>65</v>
      </c>
      <c r="B67" s="4" t="s">
        <v>26</v>
      </c>
      <c r="C67" s="6" t="s">
        <v>27</v>
      </c>
      <c r="D67" s="6" t="s">
        <v>109</v>
      </c>
      <c r="E67" s="6" t="s">
        <v>60</v>
      </c>
      <c r="F67" s="6" t="s">
        <v>89</v>
      </c>
      <c r="G67" s="6" t="s">
        <v>57</v>
      </c>
      <c r="H67" s="6" t="s">
        <v>90</v>
      </c>
      <c r="I67" s="6" t="str">
        <f t="shared" ref="I67:I83" si="10">D67&amp;"("&amp;C67&amp;"/"&amp;E67&amp;"/"&amp;F67&amp;"/"&amp;G67&amp;")"</f>
        <v>4월27일(1동/2층/1호/3명)</v>
      </c>
      <c r="J67" s="7">
        <f t="shared" ref="J67:J83" si="11">VALUE(LEFT(G67,LEN(G67)-1))</f>
        <v>3</v>
      </c>
      <c r="K67" s="8">
        <f t="shared" ref="K67:K83" si="12">IF(H67="2차",148000,74000)</f>
        <v>148000</v>
      </c>
      <c r="L67" s="8">
        <f t="shared" ref="L67:L83" si="13">K67</f>
        <v>148000</v>
      </c>
      <c r="M67" s="2">
        <f t="shared" ref="M67:M83" si="14">IFERROR(VALUE(LEFT(D67,FIND("월",D67)-1)),"")</f>
        <v>4</v>
      </c>
    </row>
    <row r="68" spans="1:13" ht="18.75" customHeight="1">
      <c r="A68" s="6">
        <v>66</v>
      </c>
      <c r="B68" s="4" t="s">
        <v>26</v>
      </c>
      <c r="C68" s="6" t="s">
        <v>27</v>
      </c>
      <c r="D68" s="6" t="s">
        <v>109</v>
      </c>
      <c r="E68" s="6" t="s">
        <v>58</v>
      </c>
      <c r="F68" s="6" t="s">
        <v>89</v>
      </c>
      <c r="G68" s="6" t="s">
        <v>57</v>
      </c>
      <c r="H68" s="6" t="s">
        <v>90</v>
      </c>
      <c r="I68" s="6" t="str">
        <f t="shared" si="10"/>
        <v>4월27일(1동/3층/1호/3명)</v>
      </c>
      <c r="J68" s="7">
        <f t="shared" si="11"/>
        <v>3</v>
      </c>
      <c r="K68" s="8">
        <f t="shared" si="12"/>
        <v>148000</v>
      </c>
      <c r="L68" s="8">
        <f t="shared" si="13"/>
        <v>148000</v>
      </c>
      <c r="M68" s="2">
        <f t="shared" si="14"/>
        <v>4</v>
      </c>
    </row>
    <row r="69" spans="1:13" ht="18.75" customHeight="1">
      <c r="A69" s="6">
        <v>67</v>
      </c>
      <c r="B69" s="4" t="s">
        <v>26</v>
      </c>
      <c r="C69" s="6" t="s">
        <v>27</v>
      </c>
      <c r="D69" s="6" t="s">
        <v>109</v>
      </c>
      <c r="E69" s="6" t="s">
        <v>48</v>
      </c>
      <c r="F69" s="6" t="s">
        <v>85</v>
      </c>
      <c r="G69" s="6" t="s">
        <v>57</v>
      </c>
      <c r="H69" s="6" t="s">
        <v>90</v>
      </c>
      <c r="I69" s="6" t="str">
        <f t="shared" si="10"/>
        <v>4월27일(1동/1층/2호/3명)</v>
      </c>
      <c r="J69" s="7">
        <f t="shared" si="11"/>
        <v>3</v>
      </c>
      <c r="K69" s="8">
        <f t="shared" si="12"/>
        <v>148000</v>
      </c>
      <c r="L69" s="8">
        <f t="shared" si="13"/>
        <v>148000</v>
      </c>
      <c r="M69" s="2">
        <f t="shared" si="14"/>
        <v>4</v>
      </c>
    </row>
    <row r="70" spans="1:13" ht="18.75" customHeight="1">
      <c r="A70" s="6">
        <v>68</v>
      </c>
      <c r="B70" s="4" t="s">
        <v>26</v>
      </c>
      <c r="C70" s="6" t="s">
        <v>27</v>
      </c>
      <c r="D70" s="6" t="s">
        <v>109</v>
      </c>
      <c r="E70" s="6" t="s">
        <v>60</v>
      </c>
      <c r="F70" s="6" t="s">
        <v>85</v>
      </c>
      <c r="G70" s="6" t="s">
        <v>57</v>
      </c>
      <c r="H70" s="6" t="s">
        <v>90</v>
      </c>
      <c r="I70" s="6" t="str">
        <f t="shared" si="10"/>
        <v>4월27일(1동/2층/2호/3명)</v>
      </c>
      <c r="J70" s="7">
        <f t="shared" si="11"/>
        <v>3</v>
      </c>
      <c r="K70" s="8">
        <f t="shared" si="12"/>
        <v>148000</v>
      </c>
      <c r="L70" s="8">
        <f t="shared" si="13"/>
        <v>148000</v>
      </c>
      <c r="M70" s="2">
        <f t="shared" si="14"/>
        <v>4</v>
      </c>
    </row>
    <row r="71" spans="1:13" ht="18.75" customHeight="1">
      <c r="A71" s="6">
        <v>69</v>
      </c>
      <c r="B71" s="4" t="s">
        <v>26</v>
      </c>
      <c r="C71" s="6" t="s">
        <v>27</v>
      </c>
      <c r="D71" s="6" t="s">
        <v>109</v>
      </c>
      <c r="E71" s="6" t="s">
        <v>58</v>
      </c>
      <c r="F71" s="6" t="s">
        <v>85</v>
      </c>
      <c r="G71" s="6" t="s">
        <v>57</v>
      </c>
      <c r="H71" s="6" t="s">
        <v>90</v>
      </c>
      <c r="I71" s="6" t="str">
        <f t="shared" si="10"/>
        <v>4월27일(1동/3층/2호/3명)</v>
      </c>
      <c r="J71" s="7">
        <f t="shared" si="11"/>
        <v>3</v>
      </c>
      <c r="K71" s="8">
        <f t="shared" si="12"/>
        <v>148000</v>
      </c>
      <c r="L71" s="8">
        <f t="shared" si="13"/>
        <v>148000</v>
      </c>
      <c r="M71" s="2">
        <f t="shared" si="14"/>
        <v>4</v>
      </c>
    </row>
    <row r="72" spans="1:13" ht="18.75" customHeight="1">
      <c r="A72" s="6">
        <v>70</v>
      </c>
      <c r="B72" s="4" t="s">
        <v>26</v>
      </c>
      <c r="C72" s="6" t="s">
        <v>27</v>
      </c>
      <c r="D72" s="6" t="s">
        <v>109</v>
      </c>
      <c r="E72" s="6" t="s">
        <v>60</v>
      </c>
      <c r="F72" s="6" t="s">
        <v>81</v>
      </c>
      <c r="G72" s="6" t="s">
        <v>57</v>
      </c>
      <c r="H72" s="6" t="s">
        <v>90</v>
      </c>
      <c r="I72" s="6" t="str">
        <f t="shared" si="10"/>
        <v>4월27일(1동/2층/3호/3명)</v>
      </c>
      <c r="J72" s="7">
        <f t="shared" si="11"/>
        <v>3</v>
      </c>
      <c r="K72" s="8">
        <f t="shared" si="12"/>
        <v>148000</v>
      </c>
      <c r="L72" s="8">
        <f t="shared" si="13"/>
        <v>148000</v>
      </c>
      <c r="M72" s="2">
        <f t="shared" si="14"/>
        <v>4</v>
      </c>
    </row>
    <row r="73" spans="1:13" ht="18.75" customHeight="1">
      <c r="A73" s="6">
        <v>71</v>
      </c>
      <c r="B73" s="4" t="s">
        <v>26</v>
      </c>
      <c r="C73" s="6" t="s">
        <v>27</v>
      </c>
      <c r="D73" s="6" t="s">
        <v>109</v>
      </c>
      <c r="E73" s="6" t="s">
        <v>60</v>
      </c>
      <c r="F73" s="6" t="s">
        <v>77</v>
      </c>
      <c r="G73" s="6" t="s">
        <v>57</v>
      </c>
      <c r="H73" s="6" t="s">
        <v>90</v>
      </c>
      <c r="I73" s="6" t="str">
        <f t="shared" si="10"/>
        <v>4월27일(1동/2층/4호/3명)</v>
      </c>
      <c r="J73" s="7">
        <f t="shared" si="11"/>
        <v>3</v>
      </c>
      <c r="K73" s="8">
        <f t="shared" si="12"/>
        <v>148000</v>
      </c>
      <c r="L73" s="8">
        <f t="shared" si="13"/>
        <v>148000</v>
      </c>
      <c r="M73" s="2">
        <f t="shared" si="14"/>
        <v>4</v>
      </c>
    </row>
    <row r="74" spans="1:13" ht="18.75" customHeight="1">
      <c r="A74" s="6">
        <v>72</v>
      </c>
      <c r="B74" s="4" t="s">
        <v>26</v>
      </c>
      <c r="C74" s="6" t="s">
        <v>27</v>
      </c>
      <c r="D74" s="6" t="s">
        <v>109</v>
      </c>
      <c r="E74" s="6" t="s">
        <v>58</v>
      </c>
      <c r="F74" s="6" t="s">
        <v>81</v>
      </c>
      <c r="G74" s="6" t="s">
        <v>57</v>
      </c>
      <c r="H74" s="6" t="s">
        <v>90</v>
      </c>
      <c r="I74" s="6" t="str">
        <f t="shared" si="10"/>
        <v>4월27일(1동/3층/3호/3명)</v>
      </c>
      <c r="J74" s="7">
        <f t="shared" si="11"/>
        <v>3</v>
      </c>
      <c r="K74" s="8">
        <f t="shared" si="12"/>
        <v>148000</v>
      </c>
      <c r="L74" s="8">
        <f t="shared" si="13"/>
        <v>148000</v>
      </c>
      <c r="M74" s="2">
        <f t="shared" si="14"/>
        <v>4</v>
      </c>
    </row>
    <row r="75" spans="1:13" ht="18.75" customHeight="1">
      <c r="A75" s="6">
        <v>73</v>
      </c>
      <c r="B75" s="4" t="s">
        <v>26</v>
      </c>
      <c r="C75" s="6" t="s">
        <v>27</v>
      </c>
      <c r="D75" s="6" t="s">
        <v>109</v>
      </c>
      <c r="E75" s="6" t="s">
        <v>58</v>
      </c>
      <c r="F75" s="6" t="s">
        <v>77</v>
      </c>
      <c r="G75" s="6" t="s">
        <v>57</v>
      </c>
      <c r="H75" s="6" t="s">
        <v>90</v>
      </c>
      <c r="I75" s="6" t="str">
        <f t="shared" si="10"/>
        <v>4월27일(1동/3층/4호/3명)</v>
      </c>
      <c r="J75" s="7">
        <f t="shared" si="11"/>
        <v>3</v>
      </c>
      <c r="K75" s="8">
        <f t="shared" si="12"/>
        <v>148000</v>
      </c>
      <c r="L75" s="8">
        <f t="shared" si="13"/>
        <v>148000</v>
      </c>
      <c r="M75" s="2">
        <f t="shared" si="14"/>
        <v>4</v>
      </c>
    </row>
    <row r="76" spans="1:13" ht="18.75" customHeight="1">
      <c r="A76" s="6">
        <v>74</v>
      </c>
      <c r="B76" s="4" t="s">
        <v>26</v>
      </c>
      <c r="C76" s="6" t="s">
        <v>56</v>
      </c>
      <c r="D76" s="6" t="s">
        <v>109</v>
      </c>
      <c r="E76" s="6" t="s">
        <v>60</v>
      </c>
      <c r="F76" s="6" t="s">
        <v>81</v>
      </c>
      <c r="G76" s="6" t="s">
        <v>57</v>
      </c>
      <c r="H76" s="6" t="s">
        <v>78</v>
      </c>
      <c r="I76" s="6" t="str">
        <f t="shared" si="10"/>
        <v>4월27일(2동/2층/3호/3명)</v>
      </c>
      <c r="J76" s="7">
        <f t="shared" si="11"/>
        <v>3</v>
      </c>
      <c r="K76" s="8">
        <f t="shared" si="12"/>
        <v>74000</v>
      </c>
      <c r="L76" s="8">
        <f t="shared" si="13"/>
        <v>74000</v>
      </c>
      <c r="M76" s="2">
        <f t="shared" si="14"/>
        <v>4</v>
      </c>
    </row>
    <row r="77" spans="1:13" ht="18.75" customHeight="1">
      <c r="A77" s="6">
        <v>75</v>
      </c>
      <c r="B77" s="4" t="s">
        <v>26</v>
      </c>
      <c r="C77" s="6" t="s">
        <v>56</v>
      </c>
      <c r="D77" s="6" t="s">
        <v>109</v>
      </c>
      <c r="E77" s="6" t="s">
        <v>58</v>
      </c>
      <c r="F77" s="6" t="s">
        <v>81</v>
      </c>
      <c r="G77" s="6" t="s">
        <v>57</v>
      </c>
      <c r="H77" s="6" t="s">
        <v>78</v>
      </c>
      <c r="I77" s="6" t="str">
        <f t="shared" si="10"/>
        <v>4월27일(2동/3층/3호/3명)</v>
      </c>
      <c r="J77" s="7">
        <f t="shared" si="11"/>
        <v>3</v>
      </c>
      <c r="K77" s="8">
        <f t="shared" si="12"/>
        <v>74000</v>
      </c>
      <c r="L77" s="8">
        <f t="shared" si="13"/>
        <v>74000</v>
      </c>
      <c r="M77" s="2">
        <f t="shared" si="14"/>
        <v>4</v>
      </c>
    </row>
    <row r="78" spans="1:13" ht="18.75" customHeight="1">
      <c r="A78" s="6">
        <v>76</v>
      </c>
      <c r="B78" s="4" t="s">
        <v>26</v>
      </c>
      <c r="C78" s="6" t="s">
        <v>56</v>
      </c>
      <c r="D78" s="6" t="s">
        <v>109</v>
      </c>
      <c r="E78" s="6" t="s">
        <v>60</v>
      </c>
      <c r="F78" s="6" t="s">
        <v>77</v>
      </c>
      <c r="G78" s="6" t="s">
        <v>57</v>
      </c>
      <c r="H78" s="6" t="s">
        <v>78</v>
      </c>
      <c r="I78" s="6" t="str">
        <f t="shared" si="10"/>
        <v>4월27일(2동/2층/4호/3명)</v>
      </c>
      <c r="J78" s="7">
        <f t="shared" si="11"/>
        <v>3</v>
      </c>
      <c r="K78" s="8">
        <f t="shared" si="12"/>
        <v>74000</v>
      </c>
      <c r="L78" s="8">
        <f t="shared" si="13"/>
        <v>74000</v>
      </c>
      <c r="M78" s="2">
        <f t="shared" si="14"/>
        <v>4</v>
      </c>
    </row>
    <row r="79" spans="1:13" ht="18.75" customHeight="1">
      <c r="A79" s="6">
        <v>77</v>
      </c>
      <c r="B79" s="4" t="s">
        <v>26</v>
      </c>
      <c r="C79" s="6" t="s">
        <v>56</v>
      </c>
      <c r="D79" s="6" t="s">
        <v>109</v>
      </c>
      <c r="E79" s="6" t="s">
        <v>58</v>
      </c>
      <c r="F79" s="6" t="s">
        <v>77</v>
      </c>
      <c r="G79" s="6" t="s">
        <v>57</v>
      </c>
      <c r="H79" s="6" t="s">
        <v>78</v>
      </c>
      <c r="I79" s="6" t="str">
        <f t="shared" si="10"/>
        <v>4월27일(2동/3층/4호/3명)</v>
      </c>
      <c r="J79" s="7">
        <f t="shared" si="11"/>
        <v>3</v>
      </c>
      <c r="K79" s="8">
        <f t="shared" si="12"/>
        <v>74000</v>
      </c>
      <c r="L79" s="8">
        <f t="shared" si="13"/>
        <v>74000</v>
      </c>
      <c r="M79" s="2">
        <f t="shared" si="14"/>
        <v>4</v>
      </c>
    </row>
    <row r="80" spans="1:13" ht="18.75" customHeight="1">
      <c r="A80" s="6">
        <v>78</v>
      </c>
      <c r="B80" s="4" t="s">
        <v>64</v>
      </c>
      <c r="C80" s="6" t="s">
        <v>56</v>
      </c>
      <c r="D80" s="6" t="s">
        <v>99</v>
      </c>
      <c r="E80" s="6" t="s">
        <v>67</v>
      </c>
      <c r="F80" s="6" t="s">
        <v>89</v>
      </c>
      <c r="G80" s="6" t="s">
        <v>57</v>
      </c>
      <c r="H80" s="6" t="s">
        <v>78</v>
      </c>
      <c r="I80" s="6" t="str">
        <f t="shared" si="10"/>
        <v>4월28일(2동/7층/1호/3명)</v>
      </c>
      <c r="J80" s="7">
        <f t="shared" si="11"/>
        <v>3</v>
      </c>
      <c r="K80" s="8">
        <f t="shared" si="12"/>
        <v>74000</v>
      </c>
      <c r="L80" s="8">
        <f t="shared" si="13"/>
        <v>74000</v>
      </c>
      <c r="M80" s="2">
        <f t="shared" si="14"/>
        <v>4</v>
      </c>
    </row>
    <row r="81" spans="1:13" ht="18.75" customHeight="1">
      <c r="A81" s="6">
        <v>79</v>
      </c>
      <c r="B81" s="4" t="s">
        <v>64</v>
      </c>
      <c r="C81" s="6" t="s">
        <v>56</v>
      </c>
      <c r="D81" s="6" t="s">
        <v>99</v>
      </c>
      <c r="E81" s="6" t="s">
        <v>67</v>
      </c>
      <c r="F81" s="6" t="s">
        <v>85</v>
      </c>
      <c r="G81" s="6" t="s">
        <v>57</v>
      </c>
      <c r="H81" s="6" t="s">
        <v>78</v>
      </c>
      <c r="I81" s="6" t="str">
        <f t="shared" si="10"/>
        <v>4월28일(2동/7층/2호/3명)</v>
      </c>
      <c r="J81" s="7">
        <f t="shared" si="11"/>
        <v>3</v>
      </c>
      <c r="K81" s="8">
        <f t="shared" si="12"/>
        <v>74000</v>
      </c>
      <c r="L81" s="8">
        <f t="shared" si="13"/>
        <v>74000</v>
      </c>
      <c r="M81" s="2">
        <f t="shared" si="14"/>
        <v>4</v>
      </c>
    </row>
    <row r="82" spans="1:13" ht="18.75" customHeight="1">
      <c r="A82" s="6">
        <v>80</v>
      </c>
      <c r="B82" s="4" t="s">
        <v>26</v>
      </c>
      <c r="C82" s="6" t="s">
        <v>27</v>
      </c>
      <c r="D82" s="6" t="s">
        <v>99</v>
      </c>
      <c r="E82" s="6" t="s">
        <v>59</v>
      </c>
      <c r="F82" s="6" t="s">
        <v>81</v>
      </c>
      <c r="G82" s="6" t="s">
        <v>57</v>
      </c>
      <c r="H82" s="6" t="s">
        <v>78</v>
      </c>
      <c r="I82" s="6" t="str">
        <f t="shared" si="10"/>
        <v>4월28일(1동/4층/3호/3명)</v>
      </c>
      <c r="J82" s="7">
        <f t="shared" si="11"/>
        <v>3</v>
      </c>
      <c r="K82" s="8">
        <f t="shared" si="12"/>
        <v>74000</v>
      </c>
      <c r="L82" s="8">
        <f t="shared" si="13"/>
        <v>74000</v>
      </c>
      <c r="M82" s="2">
        <f t="shared" si="14"/>
        <v>4</v>
      </c>
    </row>
    <row r="83" spans="1:13" ht="18.75" customHeight="1">
      <c r="A83" s="6">
        <v>81</v>
      </c>
      <c r="B83" s="4" t="s">
        <v>26</v>
      </c>
      <c r="C83" s="6" t="s">
        <v>27</v>
      </c>
      <c r="D83" s="6" t="s">
        <v>99</v>
      </c>
      <c r="E83" s="6" t="s">
        <v>59</v>
      </c>
      <c r="F83" s="6" t="s">
        <v>77</v>
      </c>
      <c r="G83" s="6" t="s">
        <v>57</v>
      </c>
      <c r="H83" s="6" t="s">
        <v>78</v>
      </c>
      <c r="I83" s="6" t="str">
        <f t="shared" si="10"/>
        <v>4월28일(1동/4층/4호/3명)</v>
      </c>
      <c r="J83" s="7">
        <f t="shared" si="11"/>
        <v>3</v>
      </c>
      <c r="K83" s="8">
        <f t="shared" si="12"/>
        <v>74000</v>
      </c>
      <c r="L83" s="8">
        <f t="shared" si="13"/>
        <v>74000</v>
      </c>
      <c r="M83" s="2">
        <f t="shared" si="14"/>
        <v>4</v>
      </c>
    </row>
  </sheetData>
  <autoFilter ref="A2:I83">
    <sortState ref="A3:I83">
      <sortCondition ref="A3:A83"/>
    </sortState>
  </autoFilter>
  <phoneticPr fontId="6" type="noConversion"/>
  <conditionalFormatting sqref="B1:B1048576">
    <cfRule type="cellIs" dxfId="0" priority="2" operator="equal">
      <formula>"도급"</formula>
    </cfRule>
  </conditionalFormatting>
  <pageMargins left="0.69999998807907104" right="0.69999998807907104" top="0.75" bottom="0.75" header="0.51180553436279297" footer="0.5118055343627929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4월정산</vt:lpstr>
      <vt:lpstr>일별공수</vt:lpstr>
      <vt:lpstr>청소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hyunyong ahn</cp:lastModifiedBy>
  <cp:revision>1</cp:revision>
  <cp:lastPrinted>2026-05-02T02:51:23Z</cp:lastPrinted>
  <dcterms:created xsi:type="dcterms:W3CDTF">2026-04-29T20:23:54Z</dcterms:created>
  <dcterms:modified xsi:type="dcterms:W3CDTF">2026-05-31T05:39:30Z</dcterms:modified>
  <cp:version>1100.0100.01</cp:version>
</cp:coreProperties>
</file>